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ad Me" sheetId="1" state="visible" r:id="rId1"/>
    <sheet name="Estimator" sheetId="2" state="visible" r:id="rId2"/>
    <sheet name="Summary" sheetId="3" state="visible" r:id="rId3"/>
    <sheet name="Complexity Advisor" sheetId="4" state="visible" r:id="rId4"/>
    <sheet name="Complexity Rubric" sheetId="5" state="visible" r:id="rId5"/>
    <sheet name="Component Catalogue" sheetId="6" state="visible" r:id="rId6"/>
    <sheet name="Page Templates" sheetId="7" state="visible" r:id="rId7"/>
    <sheet name="Page Bundles" sheetId="8" state="visible" r:id="rId8"/>
    <sheet name="Assumptions" sheetId="9" state="visible" r:id="rId9"/>
  </sheets>
  <definedNames>
    <definedName name="ComponentList">OFFSET('Component Catalogue'!$C$5,0,0,COUNTA('Component Catalogue'!$C$5:$C$150),1)</definedName>
    <definedName name="_xlnm._FilterDatabase" localSheetId="5" hidden="1">'Component Catalogue'!$A$4:$M$67</definedName>
    <definedName name="_xlnm._FilterDatabase" localSheetId="7" hidden="1">'Page Bundles'!$A$4:$K$64</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12">
    <font>
      <name val="Calibri"/>
      <family val="2"/>
      <color theme="1"/>
      <sz val="11"/>
      <scheme val="minor"/>
    </font>
    <font>
      <name val="Calibri"/>
      <b val="1"/>
      <color rgb="001F3864"/>
      <sz val="16"/>
    </font>
    <font>
      <name val="Calibri"/>
      <i val="1"/>
      <color rgb="00595959"/>
      <sz val="10"/>
    </font>
    <font>
      <name val="Calibri"/>
      <b val="1"/>
      <color rgb="00FFFFFF"/>
      <sz val="10"/>
    </font>
    <font>
      <name val="Calibri"/>
      <b val="1"/>
      <sz val="10"/>
    </font>
    <font>
      <name val="Calibri"/>
      <color rgb="000000FF"/>
      <sz val="10"/>
    </font>
    <font>
      <name val="Calibri"/>
      <sz val="10"/>
    </font>
    <font>
      <name val="Calibri"/>
      <b val="1"/>
      <color rgb="001F3864"/>
      <sz val="11"/>
    </font>
    <font>
      <name val="Calibri"/>
      <color rgb="00808080"/>
      <sz val="9"/>
    </font>
    <font>
      <name val="Calibri"/>
      <b val="1"/>
      <sz val="12"/>
    </font>
    <font>
      <name val="Calibri"/>
      <b val="1"/>
      <sz val="14"/>
    </font>
    <font>
      <name val="Calibri"/>
      <color rgb="00808080"/>
      <sz val="8"/>
    </font>
  </fonts>
  <fills count="11">
    <fill>
      <patternFill/>
    </fill>
    <fill>
      <patternFill patternType="gray125"/>
    </fill>
    <fill>
      <patternFill patternType="solid">
        <fgColor rgb="001F3864"/>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EB9C"/>
      </patternFill>
    </fill>
    <fill>
      <patternFill patternType="solid">
        <fgColor rgb="00F8CBAD"/>
      </patternFill>
    </fill>
    <fill>
      <patternFill patternType="solid">
        <fgColor rgb="00808080"/>
      </patternFill>
    </fill>
    <fill>
      <patternFill patternType="solid">
        <fgColor rgb="00DDEBF7"/>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47">
    <xf numFmtId="0" fontId="0" fillId="0" borderId="0" pivotButton="0" quotePrefix="0" xfId="0"/>
    <xf numFmtId="0" fontId="1" fillId="0" borderId="0" pivotButton="0" quotePrefix="0" xfId="0"/>
    <xf numFmtId="0" fontId="2" fillId="0" borderId="0" pivotButton="0" quotePrefix="0" xfId="0"/>
    <xf numFmtId="0" fontId="7" fillId="4" borderId="0"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4" fillId="7" borderId="1" applyAlignment="1" pivotButton="0" quotePrefix="0" xfId="0">
      <alignment vertical="top" wrapText="1"/>
    </xf>
    <xf numFmtId="0" fontId="5" fillId="3" borderId="1" applyAlignment="1" pivotButton="0" quotePrefix="0" xfId="0">
      <alignment vertical="top" wrapText="1"/>
    </xf>
    <xf numFmtId="0" fontId="0" fillId="0" borderId="5" pivotButton="0" quotePrefix="0" xfId="0"/>
    <xf numFmtId="0" fontId="0" fillId="0" borderId="4" pivotButton="0" quotePrefix="0" xfId="0"/>
    <xf numFmtId="0" fontId="5" fillId="3" borderId="1" applyAlignment="1" pivotButton="0" quotePrefix="0" xfId="0">
      <alignment horizontal="center" vertical="center"/>
    </xf>
    <xf numFmtId="0" fontId="3" fillId="2" borderId="1" applyAlignment="1" pivotButton="0" quotePrefix="0" xfId="0">
      <alignment vertical="top" wrapText="1"/>
    </xf>
    <xf numFmtId="0" fontId="3" fillId="2" borderId="1" applyAlignment="1" pivotButton="0" quotePrefix="0" xfId="0">
      <alignment horizontal="center" vertical="center" wrapText="1"/>
    </xf>
    <xf numFmtId="165" fontId="6" fillId="0" borderId="1" applyAlignment="1" pivotButton="0" quotePrefix="0" xfId="0">
      <alignment horizontal="center" vertical="center"/>
    </xf>
    <xf numFmtId="0" fontId="2" fillId="0" borderId="1" applyAlignment="1" pivotButton="0" quotePrefix="0" xfId="0">
      <alignment vertical="top" wrapText="1"/>
    </xf>
    <xf numFmtId="2" fontId="6" fillId="0" borderId="1" applyAlignment="1" pivotButton="0" quotePrefix="0" xfId="0">
      <alignment horizontal="center" vertical="center"/>
    </xf>
    <xf numFmtId="0" fontId="9" fillId="9" borderId="1" applyAlignment="1" pivotButton="0" quotePrefix="0" xfId="0">
      <alignment vertical="top" wrapText="1"/>
    </xf>
    <xf numFmtId="3" fontId="9" fillId="9" borderId="1" applyAlignment="1" pivotButton="0" quotePrefix="0" xfId="0">
      <alignment horizontal="center" vertical="center"/>
    </xf>
    <xf numFmtId="0" fontId="2" fillId="0" borderId="0" applyAlignment="1" pivotButton="0" quotePrefix="0" xfId="0">
      <alignment vertical="top"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164" fontId="6" fillId="0" borderId="1" applyAlignment="1" pivotButton="0" quotePrefix="0" xfId="0">
      <alignment horizontal="center" vertical="center"/>
    </xf>
    <xf numFmtId="0" fontId="4" fillId="10" borderId="1" applyAlignment="1" pivotButton="0" quotePrefix="0" xfId="0">
      <alignment vertical="top" wrapText="1"/>
    </xf>
    <xf numFmtId="0" fontId="4" fillId="10" borderId="1" applyAlignment="1" pivotButton="0" quotePrefix="0" xfId="0">
      <alignment horizontal="center" vertical="center"/>
    </xf>
    <xf numFmtId="0" fontId="6" fillId="10" borderId="1" applyAlignment="1" pivotButton="0" quotePrefix="0" xfId="0">
      <alignment vertical="top" wrapText="1"/>
    </xf>
    <xf numFmtId="165" fontId="4" fillId="10" borderId="1" applyAlignment="1" pivotButton="0" quotePrefix="0" xfId="0">
      <alignment horizontal="center" vertical="center"/>
    </xf>
    <xf numFmtId="0" fontId="4" fillId="0" borderId="1" applyAlignment="1" pivotButton="0" quotePrefix="0" xfId="0">
      <alignment horizontal="center" vertical="center"/>
    </xf>
    <xf numFmtId="0" fontId="6" fillId="0" borderId="1" applyAlignment="1" pivotButton="0" quotePrefix="0" xfId="0">
      <alignment horizontal="center" vertical="center"/>
    </xf>
    <xf numFmtId="0" fontId="8" fillId="0" borderId="1" applyAlignment="1" pivotButton="0" quotePrefix="0" xfId="0">
      <alignment vertical="top" wrapText="1"/>
    </xf>
    <xf numFmtId="0" fontId="2" fillId="10" borderId="1" applyAlignment="1" pivotButton="0" quotePrefix="0" xfId="0">
      <alignment vertical="top" wrapText="1"/>
    </xf>
    <xf numFmtId="0" fontId="6" fillId="0" borderId="0" applyAlignment="1" pivotButton="0" quotePrefix="0" xfId="0">
      <alignment vertical="top" wrapText="1"/>
    </xf>
    <xf numFmtId="165" fontId="9" fillId="9" borderId="1" applyAlignment="1" pivotButton="0" quotePrefix="0" xfId="0">
      <alignment horizontal="center" vertical="center"/>
    </xf>
    <xf numFmtId="9" fontId="6" fillId="0" borderId="1" applyAlignment="1" pivotButton="0" quotePrefix="0" xfId="0">
      <alignment horizontal="center" vertical="center"/>
    </xf>
    <xf numFmtId="0" fontId="11" fillId="0" borderId="0" applyAlignment="1" pivotButton="0" quotePrefix="0" xfId="0">
      <alignment vertical="top" wrapText="1"/>
    </xf>
    <xf numFmtId="2" fontId="5" fillId="3" borderId="1" applyAlignment="1" pivotButton="0" quotePrefix="0" xfId="0">
      <alignment horizontal="center" vertical="center"/>
    </xf>
    <xf numFmtId="9" fontId="5" fillId="3" borderId="1" applyAlignment="1" pivotButton="0" quotePrefix="0" xfId="0">
      <alignment horizontal="center" vertical="center"/>
    </xf>
    <xf numFmtId="0" fontId="4" fillId="9" borderId="1" applyAlignment="1" pivotButton="0" quotePrefix="0" xfId="0">
      <alignment vertical="top" wrapText="1"/>
    </xf>
    <xf numFmtId="166"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0" borderId="1" applyAlignment="1" pivotButton="0" quotePrefix="0" xfId="0">
      <alignment horizontal="center" vertical="center"/>
    </xf>
    <xf numFmtId="165" fontId="4" fillId="0" borderId="1" applyAlignment="1" pivotButton="0" quotePrefix="0" xfId="0">
      <alignment horizontal="left" vertical="center"/>
    </xf>
    <xf numFmtId="0" fontId="4" fillId="4" borderId="1" applyAlignment="1" pivotButton="0" quotePrefix="0" xfId="0">
      <alignment horizontal="center" vertical="center" wrapText="1"/>
    </xf>
    <xf numFmtId="164" fontId="5" fillId="3" borderId="1" applyAlignment="1" pivotButton="0" quotePrefix="0" xfId="0">
      <alignment horizontal="center" vertical="center"/>
    </xf>
    <xf numFmtId="0" fontId="2" fillId="0" borderId="1" applyAlignment="1" pivotButton="0" quotePrefix="0" xfId="0">
      <alignment horizontal="center" vertical="center" wrapText="1"/>
    </xf>
    <xf numFmtId="0" fontId="3" fillId="8" borderId="1" applyAlignment="1" pivotButton="0" quotePrefix="0" xfId="0">
      <alignment horizontal="center" vertical="center" wrapText="1"/>
    </xf>
    <xf numFmtId="1" fontId="5" fillId="3" borderId="1" applyAlignment="1" pivotButton="0" quotePrefix="0" xfId="0">
      <alignment horizontal="center" vertical="center"/>
    </xf>
  </cellXfs>
  <cellStyles count="1">
    <cellStyle name="Normal" xfId="0" builtinId="0" hidden="0"/>
  </cellStyles>
  <dxfs count="3">
    <dxf>
      <fill>
        <patternFill patternType="solid">
          <fgColor rgb="00C6EFCE"/>
          <bgColor rgb="00C6EFCE"/>
        </patternFill>
      </fill>
    </dxf>
    <dxf>
      <fill>
        <patternFill patternType="solid">
          <fgColor rgb="00FFEB9C"/>
          <bgColor rgb="00FFEB9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p>
            <a:pPr>
              <a:defRPr/>
            </a:pPr>
            <a:r>
              <a:t>Hours by area</a:t>
            </a:r>
          </a:p>
        </rich>
      </tx>
    </title>
    <plotArea>
      <barChart>
        <barDir val="col"/>
        <grouping val="clustered"/>
        <ser>
          <idx val="0"/>
          <order val="0"/>
          <tx>
            <strRef>
              <f>'Summary'!B12</f>
            </strRef>
          </tx>
          <spPr>
            <a:ln>
              <a:prstDash val="solid"/>
            </a:ln>
          </spPr>
          <cat>
            <numRef>
              <f>'Summary'!$A$13:$A$15</f>
            </numRef>
          </cat>
          <val>
            <numRef>
              <f>'Summary'!$B$13:$B$15</f>
            </numRef>
          </val>
        </ser>
        <ser>
          <idx val="1"/>
          <order val="1"/>
          <tx>
            <strRef>
              <f>'Summary'!C12</f>
            </strRef>
          </tx>
          <spPr>
            <a:ln>
              <a:prstDash val="solid"/>
            </a:ln>
          </spPr>
          <cat>
            <numRef>
              <f>'Summary'!$A$13:$A$15</f>
            </numRef>
          </cat>
          <val>
            <numRef>
              <f>'Summary'!$C$13:$C$15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Total hours by scenario</a:t>
            </a:r>
          </a:p>
        </rich>
      </tx>
    </title>
    <plotArea>
      <barChart>
        <barDir val="col"/>
        <grouping val="clustered"/>
        <ser>
          <idx val="0"/>
          <order val="0"/>
          <tx>
            <strRef>
              <f>'Summary'!A32</f>
            </strRef>
          </tx>
          <spPr>
            <a:ln>
              <a:prstDash val="solid"/>
            </a:ln>
          </spPr>
          <cat>
            <numRef>
              <f>'Summary'!$B$28:$D$28</f>
            </numRef>
          </cat>
          <val>
            <numRef>
              <f>'Summary'!$B$32:$D$32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7F7F7F"/>
    <outlinePr summaryBelow="1" summaryRight="1"/>
    <pageSetUpPr fitToPage="1"/>
  </sheetPr>
  <dimension ref="A1:B54"/>
  <sheetViews>
    <sheetView showGridLines="0" tabSelected="0" workbookViewId="0">
      <selection activeCell="A1" sqref="A1"/>
    </sheetView>
  </sheetViews>
  <sheetFormatPr baseColWidth="8" defaultRowHeight="15"/>
  <cols>
    <col width="30" customWidth="1" min="1" max="1"/>
    <col width="112" customWidth="1" min="2" max="2"/>
  </cols>
  <sheetData>
    <row r="1">
      <c r="A1" s="1" t="inlineStr">
        <is>
          <t>UI / UX Build Effort Estimator</t>
        </is>
      </c>
    </row>
    <row r="2">
      <c r="A2" s="2" t="inlineStr">
        <is>
          <t>Draft v0.1 - starting values to be replaced with team experience-based hours</t>
        </is>
      </c>
    </row>
    <row r="4">
      <c r="A4" s="3" t="inlineStr">
        <is>
          <t>Purpose</t>
        </is>
      </c>
    </row>
    <row r="5">
      <c r="A5" s="4" t="inlineStr">
        <is>
          <t>What this is</t>
        </is>
      </c>
      <c r="B5" s="5" t="inlineStr">
        <is>
          <t>A simple, explainable Excel reference for estimating the developer effort of modern web applications (UI plus the back-end APIs behind them) when responding to RFPs. A person reads the tables, picks the components and complexity, and the workbook totals the hours.</t>
        </is>
      </c>
    </row>
    <row r="6">
      <c r="A6" s="4" t="inlineStr">
        <is>
          <t>What it is not</t>
        </is>
      </c>
      <c r="B6" s="5" t="inlineStr">
        <is>
          <t>Not a pricing tool, not a project plan, and not an estimator for agent / data-pipeline development. It only covers web UI and the API layer that serves it.</t>
        </is>
      </c>
    </row>
    <row r="8">
      <c r="A8" s="3" t="inlineStr">
        <is>
          <t>Who uses it</t>
        </is>
      </c>
    </row>
    <row r="9">
      <c r="A9" s="4" t="inlineStr">
        <is>
          <t>RFP / bid responder</t>
        </is>
      </c>
      <c r="B9" s="5" t="inlineStr">
        <is>
          <t>Primary user (solution architect or tech lead). Turns RFP text into page and component counts. Works in the Estimator and How to choose sections.</t>
        </is>
      </c>
    </row>
    <row r="10">
      <c r="A10" s="4" t="inlineStr">
        <is>
          <t>Sales / pricing team</t>
        </is>
      </c>
      <c r="B10" s="5" t="inlineStr">
        <is>
          <t>Reads the Estimator summary: total hours, person-days and indicative duration, with and without AI assistance.</t>
        </is>
      </c>
    </row>
    <row r="11">
      <c r="A11" s="4" t="inlineStr">
        <is>
          <t>Reviewers / leadership</t>
        </is>
      </c>
      <c r="B11" s="5" t="inlineStr">
        <is>
          <t>Read the Complexity Rubric and Component Catalogue to confirm the definitions and hours are sensible.</t>
        </is>
      </c>
    </row>
    <row r="12">
      <c r="A12" s="4" t="inlineStr">
        <is>
          <t>UI and back-end developers</t>
        </is>
      </c>
      <c r="B12" s="5" t="inlineStr">
        <is>
          <t>Maintain the numbers: enter experience-based hours in the Component Catalogue and Page Bundles, and log delivered projects in the Calibration log (Assumptions).</t>
        </is>
      </c>
    </row>
    <row r="14">
      <c r="A14" s="3" t="inlineStr">
        <is>
          <t>What the hours cover</t>
        </is>
      </c>
    </row>
    <row r="15">
      <c r="A15" s="4" t="inlineStr">
        <is>
          <t>Included</t>
        </is>
      </c>
      <c r="B15" s="5" t="inlineStr">
        <is>
          <t>Developer build effort plus writing unit tests, for a typical first implementation by an average developer (not person-specific).</t>
        </is>
      </c>
    </row>
    <row r="16">
      <c r="A16" s="4" t="inlineStr">
        <is>
          <t>Excluded</t>
        </is>
      </c>
      <c r="B16" s="5" t="inlineStr">
        <is>
          <t>UAT and integration testing, project management, requirements gathering, DevOps, database design, data pipelines, agent / RAG development.</t>
        </is>
      </c>
    </row>
    <row r="17">
      <c r="A17" s="4" t="inlineStr">
        <is>
          <t>Platform</t>
        </is>
      </c>
      <c r="B17" s="5" t="inlineStr">
        <is>
          <t>Modern web apps only (Next.js / React baseline). No mobile or desktop applications.</t>
        </is>
      </c>
    </row>
    <row r="19">
      <c r="A19" s="3" t="inlineStr">
        <is>
          <t>How to use (5 steps)</t>
        </is>
      </c>
    </row>
    <row r="20">
      <c r="A20" s="4" t="inlineStr">
        <is>
          <t>1. Count pages</t>
        </is>
      </c>
      <c r="B20" s="5" t="inlineStr">
        <is>
          <t>From the RFP, list the page types (login, dashboards, admin, etc.). Decide how many are Simple, Medium or Complex using the page definitions on the Page Templates sheet.</t>
        </is>
      </c>
    </row>
    <row r="21">
      <c r="A21" s="4" t="inlineStr">
        <is>
          <t>2. Enter pages</t>
        </is>
      </c>
      <c r="B21" s="5" t="inlineStr">
        <is>
          <t>On the Estimator, type the counts into Section A. The hours per page come from the Page Templates sheet. Use the Page Explorer under Section A to see exactly which components make up any page and level.</t>
        </is>
      </c>
    </row>
    <row r="22">
      <c r="A22" s="4" t="inlineStr">
        <is>
          <t>3. Add shared / special components</t>
        </is>
      </c>
      <c r="B22" s="5" t="inlineStr">
        <is>
          <t>In Section B pick extra components from the dropdown (app shell, navigation, Kanban board, pivot table, etc.), choose a complexity and enter a quantity.</t>
        </is>
      </c>
    </row>
    <row r="23">
      <c r="A23" s="4" t="inlineStr">
        <is>
          <t>4. Add backend APIs</t>
        </is>
      </c>
      <c r="B23" s="5" t="inlineStr">
        <is>
          <t>In Section C enter how many endpoints of each type you expect. Use 'Typical API endpoints' on Page Templates as a guide.</t>
        </is>
      </c>
    </row>
    <row r="24">
      <c r="A24" s="4" t="inlineStr">
        <is>
          <t>5. Read the result</t>
        </is>
      </c>
      <c r="B24" s="5" t="inlineStr">
        <is>
          <t>The summary at the top of the Estimator shows the total hours and person-days WITHOUT AI and WITH AI assistance. Review assumptions before quoting.</t>
        </is>
      </c>
    </row>
    <row r="26">
      <c r="A26" s="3" t="inlineStr">
        <is>
          <t>How to choose - RFP wording to inputs</t>
        </is>
      </c>
    </row>
    <row r="27">
      <c r="A27" s="4" t="inlineStr">
        <is>
          <t>"N login / sign-in screens"</t>
        </is>
      </c>
      <c r="B27" s="5" t="inlineStr">
        <is>
          <t>Page type: Login &amp; authentication page. Add Authentication endpoint in Section C.</t>
        </is>
      </c>
    </row>
    <row r="28">
      <c r="A28" s="4" t="inlineStr">
        <is>
          <t>"Dashboards / analytics views"</t>
        </is>
      </c>
      <c r="B28" s="5" t="inlineStr">
        <is>
          <t>Page type: Dashboard / analytics page. Add Aggregation / analytics endpoints in Section C.</t>
        </is>
      </c>
    </row>
    <row r="29">
      <c r="A29" s="4" t="inlineStr">
        <is>
          <t>"Admin screens / user management"</t>
        </is>
      </c>
      <c r="B29" s="5" t="inlineStr">
        <is>
          <t>Page type: Admin / configuration page. Add Role-based UI rendering in Section B and Authorisation layer in Section C.</t>
        </is>
      </c>
    </row>
    <row r="30">
      <c r="A30" s="4" t="inlineStr">
        <is>
          <t>"Search / list / master data screens"</t>
        </is>
      </c>
      <c r="B30" s="5" t="inlineStr">
        <is>
          <t>Page type: List / search page, plus Detail / record page and Form / data-entry page for the record screens.</t>
        </is>
      </c>
    </row>
    <row r="31">
      <c r="A31" s="4" t="inlineStr">
        <is>
          <t>"Chatbot / assistant"</t>
        </is>
      </c>
      <c r="B31" s="5" t="inlineStr">
        <is>
          <t>Page type: AI chat assistant page. Add an Agent / LLM-facing endpoint in Section C.</t>
        </is>
      </c>
    </row>
    <row r="32">
      <c r="A32" s="4" t="inlineStr">
        <is>
          <t>"Workflow / approval screens"</t>
        </is>
      </c>
      <c r="B32" s="5" t="inlineStr">
        <is>
          <t>Page types: Wizard / guided workflow page and Agent / workflow monitor page.</t>
        </is>
      </c>
    </row>
    <row r="33">
      <c r="A33" s="4" t="inlineStr">
        <is>
          <t>"Reports / downloads"</t>
        </is>
      </c>
      <c r="B33" s="5" t="inlineStr">
        <is>
          <t>Page type: Report &amp; export page. Add Export / report endpoints in Section C.</t>
        </is>
      </c>
    </row>
    <row r="34">
      <c r="A34" s="4" t="inlineStr">
        <is>
          <t>"Integrates with N systems"</t>
        </is>
      </c>
      <c r="B34" s="5" t="inlineStr">
        <is>
          <t>External system integration endpoint x N in Section C.</t>
        </is>
      </c>
    </row>
    <row r="35">
      <c r="A35" s="4" t="inlineStr">
        <is>
          <t>"SSO required"</t>
        </is>
      </c>
      <c r="B35" s="5" t="inlineStr">
        <is>
          <t>Login page at Complex, Authentication endpoint at Complex, Role-based UI rendering in Section B.</t>
        </is>
      </c>
    </row>
    <row r="36">
      <c r="A36" s="4" t="inlineStr">
        <is>
          <t>"Kanban, pivot tables, tree views"</t>
        </is>
      </c>
      <c r="B36" s="5" t="inlineStr">
        <is>
          <t>Not in any page template - add them individually in Section B.</t>
        </is>
      </c>
    </row>
    <row r="37">
      <c r="A37" s="4" t="inlineStr">
        <is>
          <t>Not sure about complexity</t>
        </is>
      </c>
      <c r="B37" s="5" t="inlineStr">
        <is>
          <t>Use the Complexity Advisor sheet: pick the statement that fits for each dimension and it returns the level. Or use Medium by default (Complexity Rubric, Rule 2).</t>
        </is>
      </c>
    </row>
    <row r="39">
      <c r="A39" s="3" t="inlineStr">
        <is>
          <t>Sheet guide</t>
        </is>
      </c>
    </row>
    <row r="40">
      <c r="A40" s="4" t="inlineStr">
        <is>
          <t>Estimator</t>
        </is>
      </c>
      <c r="B40" s="5" t="inlineStr">
        <is>
          <t>The only sheet most users need. Inputs and the final totals.</t>
        </is>
      </c>
    </row>
    <row r="41">
      <c r="A41" s="4" t="inlineStr">
        <is>
          <t>Summary</t>
        </is>
      </c>
      <c r="B41" s="5" t="inlineStr">
        <is>
          <t>One-page view for sales and clients: headline totals, where the hours go, top page drivers, and a scenario comparison (baseline, current settings, what-if).</t>
        </is>
      </c>
    </row>
    <row r="42">
      <c r="A42" s="4" t="inlineStr">
        <is>
          <t>Complexity Advisor</t>
        </is>
      </c>
      <c r="B42" s="5" t="inlineStr">
        <is>
          <t>Answer seven questions about a page or component and it recommends Simple, Medium or Complex using the rubric rules, with the reason and the hours.</t>
        </is>
      </c>
    </row>
    <row r="43">
      <c r="A43" s="4" t="inlineStr">
        <is>
          <t>Complexity Rubric</t>
        </is>
      </c>
      <c r="B43" s="5" t="inlineStr">
        <is>
          <t>Generic rules for Simple / Medium / Complex.</t>
        </is>
      </c>
    </row>
    <row r="44">
      <c r="A44" s="4" t="inlineStr">
        <is>
          <t>Component Catalogue</t>
        </is>
      </c>
      <c r="B44" s="5" t="inlineStr">
        <is>
          <t>Every UI and API component with Simple / Medium / Complex definitions, unit, and hours (without and with AI).</t>
        </is>
      </c>
    </row>
    <row r="45">
      <c r="A45" s="4" t="inlineStr">
        <is>
          <t>Page Templates</t>
        </is>
      </c>
      <c r="B45" s="5" t="inlineStr">
        <is>
          <t>Page-level definitions and hours per page type and level. Calculated from Page Bundles.</t>
        </is>
      </c>
    </row>
    <row r="46">
      <c r="A46" s="4" t="inlineStr">
        <is>
          <t>Page Bundles</t>
        </is>
      </c>
      <c r="B46" s="5" t="inlineStr">
        <is>
          <t>The component recipe behind each page template. Edit to tune a template.</t>
        </is>
      </c>
    </row>
    <row r="47">
      <c r="A47" s="4" t="inlineStr">
        <is>
          <t>Assumptions</t>
        </is>
      </c>
      <c r="B47" s="5" t="inlineStr">
        <is>
          <t>AI-assist reduction (placeholder), technology factor, baseline assumptions and a calibration log.</t>
        </is>
      </c>
    </row>
    <row r="49">
      <c r="A49" s="3" t="inlineStr">
        <is>
          <t>Colour guide</t>
        </is>
      </c>
    </row>
    <row r="50">
      <c r="A50" s="4" t="inlineStr">
        <is>
          <t>Blue text on yellow</t>
        </is>
      </c>
      <c r="B50" s="5" t="inlineStr">
        <is>
          <t>Input cell - safe to edit.</t>
        </is>
      </c>
    </row>
    <row r="51">
      <c r="A51" s="4" t="inlineStr">
        <is>
          <t>Black text</t>
        </is>
      </c>
      <c r="B51" s="5" t="inlineStr">
        <is>
          <t>Formula or fixed text - do not overwrite.</t>
        </is>
      </c>
    </row>
    <row r="52">
      <c r="A52" s="4" t="inlineStr">
        <is>
          <t>Green / amber / red headers</t>
        </is>
      </c>
      <c r="B52" s="5" t="inlineStr">
        <is>
          <t>Simple / Medium / Complex.</t>
        </is>
      </c>
    </row>
    <row r="54">
      <c r="A54" s="6" t="inlineStr">
        <is>
          <t>Important</t>
        </is>
      </c>
      <c r="B54" s="4" t="inlineStr">
        <is>
          <t>Hours are DRAFT starting values for the team to replace with their experience-based figures, and the AI-assist reduction is a PLACEHOLDER. Review both before using the output in a customer bid.</t>
        </is>
      </c>
    </row>
  </sheetData>
  <mergeCells count="7">
    <mergeCell ref="A4:B4"/>
    <mergeCell ref="A26:B26"/>
    <mergeCell ref="A19:B19"/>
    <mergeCell ref="A49:B49"/>
    <mergeCell ref="A14:B14"/>
    <mergeCell ref="A8:B8"/>
    <mergeCell ref="A39:B39"/>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C00000"/>
    <outlinePr summaryBelow="1" summaryRight="1"/>
    <pageSetUpPr fitToPage="1"/>
  </sheetPr>
  <dimension ref="A1:I78"/>
  <sheetViews>
    <sheetView showGridLines="0" tabSelected="1"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7" customWidth="1" min="8" max="8"/>
    <col hidden="1" width="13" customWidth="1" min="9" max="9"/>
  </cols>
  <sheetData>
    <row r="1">
      <c r="A1" s="1" t="inlineStr">
        <is>
          <t>UI / UX Build Effort Estimator</t>
        </is>
      </c>
    </row>
    <row r="2">
      <c r="A2" s="2" t="inlineStr">
        <is>
          <t>Enter counts in the blue cells. Sample inputs (1 login, 3 analytics, 4 admin pages) are pre-filled - overwrite them for your bid.</t>
        </is>
      </c>
    </row>
    <row r="4">
      <c r="A4" s="4" t="inlineStr">
        <is>
          <t>Project / RFP name</t>
        </is>
      </c>
      <c r="B4" s="7" t="inlineStr">
        <is>
          <t>Sample project</t>
        </is>
      </c>
      <c r="C4" s="8" t="n"/>
      <c r="D4" s="9" t="n"/>
    </row>
    <row r="5">
      <c r="A5" s="4" t="inlineStr">
        <is>
          <t>Team size (used only for indicative duration)</t>
        </is>
      </c>
      <c r="B5" s="10" t="n">
        <v>3</v>
      </c>
    </row>
    <row r="7">
      <c r="A7" s="11" t="inlineStr">
        <is>
          <t>ESTIMATE SUMMARY</t>
        </is>
      </c>
      <c r="B7" s="12" t="inlineStr">
        <is>
          <t>Without AI</t>
        </is>
      </c>
      <c r="C7" s="12" t="inlineStr">
        <is>
          <t>With AI</t>
        </is>
      </c>
      <c r="D7" s="12" t="inlineStr">
        <is>
          <t>Notes</t>
        </is>
      </c>
    </row>
    <row r="8">
      <c r="A8" s="5" t="inlineStr">
        <is>
          <t>A. UI pages (hours)</t>
        </is>
      </c>
      <c r="B8" s="13">
        <f>H30</f>
        <v/>
      </c>
      <c r="C8" s="13">
        <f>B8*(1-Assumptions!$B$5)</f>
        <v/>
      </c>
      <c r="D8" s="14" t="inlineStr">
        <is>
          <t>Pages from the page templates</t>
        </is>
      </c>
    </row>
    <row r="9">
      <c r="A9" s="5" t="inlineStr">
        <is>
          <t>B. Additional shared components (hours)</t>
        </is>
      </c>
      <c r="B9" s="13">
        <f>F64</f>
        <v/>
      </c>
      <c r="C9" s="13">
        <f>B9*(1-Assumptions!$B$5)</f>
        <v/>
      </c>
      <c r="D9" s="14" t="inlineStr">
        <is>
          <t>App shell, navigation and other individual components</t>
        </is>
      </c>
    </row>
    <row r="10">
      <c r="A10" s="5" t="inlineStr">
        <is>
          <t>C. Backend APIs (hours)</t>
        </is>
      </c>
      <c r="B10" s="13">
        <f>H78</f>
        <v/>
      </c>
      <c r="C10" s="13">
        <f>B10*(1-Assumptions!$B$5)</f>
        <v/>
      </c>
      <c r="D10" s="14" t="inlineStr">
        <is>
          <t>Endpoints and services</t>
        </is>
      </c>
    </row>
    <row r="11">
      <c r="A11" s="5" t="inlineStr">
        <is>
          <t>Technology factor</t>
        </is>
      </c>
      <c r="B11" s="15">
        <f>Assumptions!$B$6</f>
        <v/>
      </c>
      <c r="C11" s="15">
        <f>Assumptions!$B$6</f>
        <v/>
      </c>
      <c r="D11" s="14" t="inlineStr">
        <is>
          <t>Set on the Assumptions sheet (1.00 = baseline stack)</t>
        </is>
      </c>
    </row>
    <row r="12">
      <c r="A12" s="16" t="inlineStr">
        <is>
          <t>TOTAL ESTIMATED EFFORT (hours)</t>
        </is>
      </c>
      <c r="B12" s="17">
        <f>SUM(B8:B10)*B11</f>
        <v/>
      </c>
      <c r="C12" s="17">
        <f>SUM(C8:C10)*C11</f>
        <v/>
      </c>
      <c r="D12" s="14" t="inlineStr">
        <is>
          <t>Developer build + unit testing only. Excludes UAT, integration testing, PM and requirements gathering.</t>
        </is>
      </c>
    </row>
    <row r="13">
      <c r="A13" s="5" t="inlineStr">
        <is>
          <t>Person-days</t>
        </is>
      </c>
      <c r="B13" s="13">
        <f>B12/Assumptions!$B$7</f>
        <v/>
      </c>
      <c r="C13" s="13">
        <f>C12/Assumptions!$B$7</f>
        <v/>
      </c>
      <c r="D13" s="14">
        <f>"Based on "&amp;Assumptions!$B$7&amp;" hours per person-day"</f>
        <v/>
      </c>
    </row>
    <row r="14">
      <c r="A14" s="5" t="inlineStr">
        <is>
          <t>Indicative duration (weeks, at team size above)</t>
        </is>
      </c>
      <c r="B14" s="13">
        <f>IFERROR(B12/($B$5*Assumptions!$B$8),0)</f>
        <v/>
      </c>
      <c r="C14" s="13">
        <f>IFERROR(C12/($B$5*Assumptions!$B$8),0)</f>
        <v/>
      </c>
      <c r="D14" s="14">
        <f>"Assumes "&amp;Assumptions!$B$8&amp;" productive hours per person-week"</f>
        <v/>
      </c>
    </row>
    <row r="15">
      <c r="A15" s="18">
        <f>"AI-assist reduction applied in the With AI column: "&amp;TEXT(Assumptions!$B$5,"0%")&amp;" (placeholder - see Assumptions)"</f>
        <v/>
      </c>
    </row>
    <row r="17">
      <c r="A17" s="3" t="inlineStr">
        <is>
          <t>A. UI PAGES - enter page counts. Row total = #Simple x hrs + #Medium x hrs + #Complex x hrs (see Page Explorer below)</t>
        </is>
      </c>
    </row>
    <row r="18">
      <c r="A18" s="12" t="inlineStr">
        <is>
          <t>Page type</t>
        </is>
      </c>
      <c r="B18" s="19" t="inlineStr">
        <is>
          <t># Simple</t>
        </is>
      </c>
      <c r="C18" s="20" t="inlineStr">
        <is>
          <t># Medium</t>
        </is>
      </c>
      <c r="D18" s="21" t="inlineStr">
        <is>
          <t># Complex</t>
        </is>
      </c>
      <c r="E18" s="19" t="inlineStr">
        <is>
          <t>Hrs per Simple page</t>
        </is>
      </c>
      <c r="F18" s="20" t="inlineStr">
        <is>
          <t>Hrs per Medium page</t>
        </is>
      </c>
      <c r="G18" s="21" t="inlineStr">
        <is>
          <t>Hrs per Complex page</t>
        </is>
      </c>
      <c r="H18" s="12" t="inlineStr">
        <is>
          <t>Total hours (without AI)</t>
        </is>
      </c>
    </row>
    <row r="19">
      <c r="A19" s="4" t="inlineStr">
        <is>
          <t>Login &amp; authentication page</t>
        </is>
      </c>
      <c r="B19" s="10" t="n">
        <v>0</v>
      </c>
      <c r="C19" s="10" t="n">
        <v>1</v>
      </c>
      <c r="D19" s="10" t="n">
        <v>0</v>
      </c>
      <c r="E19" s="22">
        <f>IFERROR(INDEX('Page Templates'!$G$5:$G$15,MATCH($A19,'Page Templates'!$A$5:$A$15,0)),0)</f>
        <v/>
      </c>
      <c r="F19" s="22">
        <f>IFERROR(INDEX('Page Templates'!$H$5:$H$15,MATCH($A19,'Page Templates'!$A$5:$A$15,0)),0)</f>
        <v/>
      </c>
      <c r="G19" s="22">
        <f>IFERROR(INDEX('Page Templates'!$I$5:$I$15,MATCH($A19,'Page Templates'!$A$5:$A$15,0)),0)</f>
        <v/>
      </c>
      <c r="H19" s="13">
        <f>B19*E19+C19*F19+D19*G19</f>
        <v/>
      </c>
    </row>
    <row r="20">
      <c r="A20" s="4" t="inlineStr">
        <is>
          <t>Dashboard / analytics page</t>
        </is>
      </c>
      <c r="B20" s="10" t="n">
        <v>0</v>
      </c>
      <c r="C20" s="10" t="n">
        <v>2</v>
      </c>
      <c r="D20" s="10" t="n">
        <v>1</v>
      </c>
      <c r="E20" s="22">
        <f>IFERROR(INDEX('Page Templates'!$G$5:$G$15,MATCH($A20,'Page Templates'!$A$5:$A$15,0)),0)</f>
        <v/>
      </c>
      <c r="F20" s="22">
        <f>IFERROR(INDEX('Page Templates'!$H$5:$H$15,MATCH($A20,'Page Templates'!$A$5:$A$15,0)),0)</f>
        <v/>
      </c>
      <c r="G20" s="22">
        <f>IFERROR(INDEX('Page Templates'!$I$5:$I$15,MATCH($A20,'Page Templates'!$A$5:$A$15,0)),0)</f>
        <v/>
      </c>
      <c r="H20" s="13">
        <f>B20*E20+C20*F20+D20*G20</f>
        <v/>
      </c>
    </row>
    <row r="21">
      <c r="A21" s="4" t="inlineStr">
        <is>
          <t>List / search page</t>
        </is>
      </c>
      <c r="B21" s="10" t="n">
        <v>0</v>
      </c>
      <c r="C21" s="10" t="n">
        <v>0</v>
      </c>
      <c r="D21" s="10" t="n">
        <v>0</v>
      </c>
      <c r="E21" s="22">
        <f>IFERROR(INDEX('Page Templates'!$G$5:$G$15,MATCH($A21,'Page Templates'!$A$5:$A$15,0)),0)</f>
        <v/>
      </c>
      <c r="F21" s="22">
        <f>IFERROR(INDEX('Page Templates'!$H$5:$H$15,MATCH($A21,'Page Templates'!$A$5:$A$15,0)),0)</f>
        <v/>
      </c>
      <c r="G21" s="22">
        <f>IFERROR(INDEX('Page Templates'!$I$5:$I$15,MATCH($A21,'Page Templates'!$A$5:$A$15,0)),0)</f>
        <v/>
      </c>
      <c r="H21" s="13">
        <f>B21*E21+C21*F21+D21*G21</f>
        <v/>
      </c>
    </row>
    <row r="22">
      <c r="A22" s="4" t="inlineStr">
        <is>
          <t>Detail / record page</t>
        </is>
      </c>
      <c r="B22" s="10" t="n">
        <v>0</v>
      </c>
      <c r="C22" s="10" t="n">
        <v>0</v>
      </c>
      <c r="D22" s="10" t="n">
        <v>0</v>
      </c>
      <c r="E22" s="22">
        <f>IFERROR(INDEX('Page Templates'!$G$5:$G$15,MATCH($A22,'Page Templates'!$A$5:$A$15,0)),0)</f>
        <v/>
      </c>
      <c r="F22" s="22">
        <f>IFERROR(INDEX('Page Templates'!$H$5:$H$15,MATCH($A22,'Page Templates'!$A$5:$A$15,0)),0)</f>
        <v/>
      </c>
      <c r="G22" s="22">
        <f>IFERROR(INDEX('Page Templates'!$I$5:$I$15,MATCH($A22,'Page Templates'!$A$5:$A$15,0)),0)</f>
        <v/>
      </c>
      <c r="H22" s="13">
        <f>B22*E22+C22*F22+D22*G22</f>
        <v/>
      </c>
    </row>
    <row r="23">
      <c r="A23" s="4" t="inlineStr">
        <is>
          <t>Form / data-entry page</t>
        </is>
      </c>
      <c r="B23" s="10" t="n">
        <v>0</v>
      </c>
      <c r="C23" s="10" t="n">
        <v>0</v>
      </c>
      <c r="D23" s="10" t="n">
        <v>0</v>
      </c>
      <c r="E23" s="22">
        <f>IFERROR(INDEX('Page Templates'!$G$5:$G$15,MATCH($A23,'Page Templates'!$A$5:$A$15,0)),0)</f>
        <v/>
      </c>
      <c r="F23" s="22">
        <f>IFERROR(INDEX('Page Templates'!$H$5:$H$15,MATCH($A23,'Page Templates'!$A$5:$A$15,0)),0)</f>
        <v/>
      </c>
      <c r="G23" s="22">
        <f>IFERROR(INDEX('Page Templates'!$I$5:$I$15,MATCH($A23,'Page Templates'!$A$5:$A$15,0)),0)</f>
        <v/>
      </c>
      <c r="H23" s="13">
        <f>B23*E23+C23*F23+D23*G23</f>
        <v/>
      </c>
    </row>
    <row r="24">
      <c r="A24" s="4" t="inlineStr">
        <is>
          <t>Wizard / guided workflow page</t>
        </is>
      </c>
      <c r="B24" s="10" t="n">
        <v>0</v>
      </c>
      <c r="C24" s="10" t="n">
        <v>0</v>
      </c>
      <c r="D24" s="10" t="n">
        <v>0</v>
      </c>
      <c r="E24" s="22">
        <f>IFERROR(INDEX('Page Templates'!$G$5:$G$15,MATCH($A24,'Page Templates'!$A$5:$A$15,0)),0)</f>
        <v/>
      </c>
      <c r="F24" s="22">
        <f>IFERROR(INDEX('Page Templates'!$H$5:$H$15,MATCH($A24,'Page Templates'!$A$5:$A$15,0)),0)</f>
        <v/>
      </c>
      <c r="G24" s="22">
        <f>IFERROR(INDEX('Page Templates'!$I$5:$I$15,MATCH($A24,'Page Templates'!$A$5:$A$15,0)),0)</f>
        <v/>
      </c>
      <c r="H24" s="13">
        <f>B24*E24+C24*F24+D24*G24</f>
        <v/>
      </c>
    </row>
    <row r="25">
      <c r="A25" s="4" t="inlineStr">
        <is>
          <t>Admin / configuration page</t>
        </is>
      </c>
      <c r="B25" s="10" t="n">
        <v>1</v>
      </c>
      <c r="C25" s="10" t="n">
        <v>2</v>
      </c>
      <c r="D25" s="10" t="n">
        <v>1</v>
      </c>
      <c r="E25" s="22">
        <f>IFERROR(INDEX('Page Templates'!$G$5:$G$15,MATCH($A25,'Page Templates'!$A$5:$A$15,0)),0)</f>
        <v/>
      </c>
      <c r="F25" s="22">
        <f>IFERROR(INDEX('Page Templates'!$H$5:$H$15,MATCH($A25,'Page Templates'!$A$5:$A$15,0)),0)</f>
        <v/>
      </c>
      <c r="G25" s="22">
        <f>IFERROR(INDEX('Page Templates'!$I$5:$I$15,MATCH($A25,'Page Templates'!$A$5:$A$15,0)),0)</f>
        <v/>
      </c>
      <c r="H25" s="13">
        <f>B25*E25+C25*F25+D25*G25</f>
        <v/>
      </c>
    </row>
    <row r="26">
      <c r="A26" s="4" t="inlineStr">
        <is>
          <t>AI chat assistant page</t>
        </is>
      </c>
      <c r="B26" s="10" t="n">
        <v>0</v>
      </c>
      <c r="C26" s="10" t="n">
        <v>0</v>
      </c>
      <c r="D26" s="10" t="n">
        <v>0</v>
      </c>
      <c r="E26" s="22">
        <f>IFERROR(INDEX('Page Templates'!$G$5:$G$15,MATCH($A26,'Page Templates'!$A$5:$A$15,0)),0)</f>
        <v/>
      </c>
      <c r="F26" s="22">
        <f>IFERROR(INDEX('Page Templates'!$H$5:$H$15,MATCH($A26,'Page Templates'!$A$5:$A$15,0)),0)</f>
        <v/>
      </c>
      <c r="G26" s="22">
        <f>IFERROR(INDEX('Page Templates'!$I$5:$I$15,MATCH($A26,'Page Templates'!$A$5:$A$15,0)),0)</f>
        <v/>
      </c>
      <c r="H26" s="13">
        <f>B26*E26+C26*F26+D26*G26</f>
        <v/>
      </c>
    </row>
    <row r="27">
      <c r="A27" s="4" t="inlineStr">
        <is>
          <t>Agent / workflow monitor page</t>
        </is>
      </c>
      <c r="B27" s="10" t="n">
        <v>0</v>
      </c>
      <c r="C27" s="10" t="n">
        <v>0</v>
      </c>
      <c r="D27" s="10" t="n">
        <v>0</v>
      </c>
      <c r="E27" s="22">
        <f>IFERROR(INDEX('Page Templates'!$G$5:$G$15,MATCH($A27,'Page Templates'!$A$5:$A$15,0)),0)</f>
        <v/>
      </c>
      <c r="F27" s="22">
        <f>IFERROR(INDEX('Page Templates'!$H$5:$H$15,MATCH($A27,'Page Templates'!$A$5:$A$15,0)),0)</f>
        <v/>
      </c>
      <c r="G27" s="22">
        <f>IFERROR(INDEX('Page Templates'!$I$5:$I$15,MATCH($A27,'Page Templates'!$A$5:$A$15,0)),0)</f>
        <v/>
      </c>
      <c r="H27" s="13">
        <f>B27*E27+C27*F27+D27*G27</f>
        <v/>
      </c>
    </row>
    <row r="28">
      <c r="A28" s="4" t="inlineStr">
        <is>
          <t>Report &amp; export page</t>
        </is>
      </c>
      <c r="B28" s="10" t="n">
        <v>0</v>
      </c>
      <c r="C28" s="10" t="n">
        <v>0</v>
      </c>
      <c r="D28" s="10" t="n">
        <v>0</v>
      </c>
      <c r="E28" s="22">
        <f>IFERROR(INDEX('Page Templates'!$G$5:$G$15,MATCH($A28,'Page Templates'!$A$5:$A$15,0)),0)</f>
        <v/>
      </c>
      <c r="F28" s="22">
        <f>IFERROR(INDEX('Page Templates'!$H$5:$H$15,MATCH($A28,'Page Templates'!$A$5:$A$15,0)),0)</f>
        <v/>
      </c>
      <c r="G28" s="22">
        <f>IFERROR(INDEX('Page Templates'!$I$5:$I$15,MATCH($A28,'Page Templates'!$A$5:$A$15,0)),0)</f>
        <v/>
      </c>
      <c r="H28" s="13">
        <f>B28*E28+C28*F28+D28*G28</f>
        <v/>
      </c>
    </row>
    <row r="29">
      <c r="A29" s="4" t="inlineStr">
        <is>
          <t>Content / landing page</t>
        </is>
      </c>
      <c r="B29" s="10" t="n">
        <v>0</v>
      </c>
      <c r="C29" s="10" t="n">
        <v>0</v>
      </c>
      <c r="D29" s="10" t="n">
        <v>0</v>
      </c>
      <c r="E29" s="22">
        <f>IFERROR(INDEX('Page Templates'!$G$5:$G$15,MATCH($A29,'Page Templates'!$A$5:$A$15,0)),0)</f>
        <v/>
      </c>
      <c r="F29" s="22">
        <f>IFERROR(INDEX('Page Templates'!$H$5:$H$15,MATCH($A29,'Page Templates'!$A$5:$A$15,0)),0)</f>
        <v/>
      </c>
      <c r="G29" s="22">
        <f>IFERROR(INDEX('Page Templates'!$I$5:$I$15,MATCH($A29,'Page Templates'!$A$5:$A$15,0)),0)</f>
        <v/>
      </c>
      <c r="H29" s="13">
        <f>B29*E29+C29*F29+D29*G29</f>
        <v/>
      </c>
    </row>
    <row r="30">
      <c r="A30" s="23" t="inlineStr">
        <is>
          <t>Total - UI pages</t>
        </is>
      </c>
      <c r="B30" s="24">
        <f>SUM(B19:B29)</f>
        <v/>
      </c>
      <c r="C30" s="24">
        <f>SUM(C19:C29)</f>
        <v/>
      </c>
      <c r="D30" s="24">
        <f>SUM(D19:D29)</f>
        <v/>
      </c>
      <c r="E30" s="25" t="n"/>
      <c r="F30" s="25" t="n"/>
      <c r="G30" s="25" t="n"/>
      <c r="H30" s="26">
        <f>SUM(H19:H29)</f>
        <v/>
      </c>
    </row>
    <row r="32">
      <c r="A32" s="3" t="inlineStr">
        <is>
          <t>PAGE EXPLORER - pick a page type and level to see exactly which components make up its hours</t>
        </is>
      </c>
    </row>
    <row r="33">
      <c r="A33" s="4" t="inlineStr">
        <is>
          <t>Page type (choose)</t>
        </is>
      </c>
      <c r="B33" s="7" t="inlineStr">
        <is>
          <t>Login &amp; authentication page</t>
        </is>
      </c>
      <c r="E33" s="27" t="inlineStr">
        <is>
          <t>Level (choose)</t>
        </is>
      </c>
      <c r="F33" s="10" t="inlineStr">
        <is>
          <t>Medium</t>
        </is>
      </c>
    </row>
    <row r="34" ht="30" customHeight="1">
      <c r="A34" s="4" t="inlineStr">
        <is>
          <t>What this level means</t>
        </is>
      </c>
      <c r="B34" s="5">
        <f>IFERROR(INDEX('Page Templates'!$D$5:$F$15,MATCH($B$33,'Page Templates'!$A$5:$A$15,0),MATCH($F$33,{"Simple","Medium","Complex"},0)),"")</f>
        <v/>
      </c>
    </row>
    <row r="35">
      <c r="A35" s="12" t="inlineStr">
        <is>
          <t>Component in this page</t>
        </is>
      </c>
      <c r="B35" s="12" t="inlineStr">
        <is>
          <t>Level</t>
        </is>
      </c>
      <c r="C35" s="12" t="inlineStr">
        <is>
          <t>Qty</t>
        </is>
      </c>
      <c r="D35" s="12" t="inlineStr">
        <is>
          <t>Hrs each</t>
        </is>
      </c>
      <c r="E35" s="12" t="inlineStr">
        <is>
          <t>Hours</t>
        </is>
      </c>
      <c r="F35" s="12" t="inlineStr">
        <is>
          <t>What this level of the component looks like</t>
        </is>
      </c>
      <c r="G35" s="8" t="n"/>
      <c r="H35" s="9" t="n"/>
    </row>
    <row r="36">
      <c r="A36" s="5">
        <f>IF($I36="","",INDEX('Page Bundles'!$B$5:$B$300,$I36))</f>
        <v/>
      </c>
      <c r="B36" s="28">
        <f>IF($I36="","",INDEX('Page Bundles'!$F$5:$H$300,$I36,MATCH($F$33,{"Simple","Medium","Complex"},0)))</f>
        <v/>
      </c>
      <c r="C36" s="28">
        <f>IF($I36="","",INDEX('Page Bundles'!$C$5:$E$300,$I36,MATCH($F$33,{"Simple","Medium","Complex"},0)))</f>
        <v/>
      </c>
      <c r="D36" s="22">
        <f>IF($I36="","",E36/C36)</f>
        <v/>
      </c>
      <c r="E36" s="22">
        <f>IF($I36="","",INDEX('Page Bundles'!$I$5:$K$300,$I36,MATCH($F$33,{"Simple","Medium","Complex"},0)))</f>
        <v/>
      </c>
      <c r="F36" s="14">
        <f>IF($I36="","",IFERROR(INDEX('Component Catalogue'!$E$5:$G$150,MATCH($A36,'Component Catalogue'!$C$5:$C$150,0),MATCH($B36,{"Simple","Medium","Complex"},0)),""))</f>
        <v/>
      </c>
      <c r="I36" s="29">
        <f>IFERROR(MATCH($B$33&amp;"|"&amp;1,CHOOSE(MATCH($F$33,{"Simple","Medium","Complex"},0),'Page Bundles'!$L$5:$L$300,'Page Bundles'!$M$5:$M$300,'Page Bundles'!$N$5:$N$300),0),"")</f>
        <v/>
      </c>
    </row>
    <row r="37">
      <c r="A37" s="5">
        <f>IF($I37="","",INDEX('Page Bundles'!$B$5:$B$300,$I37))</f>
        <v/>
      </c>
      <c r="B37" s="28">
        <f>IF($I37="","",INDEX('Page Bundles'!$F$5:$H$300,$I37,MATCH($F$33,{"Simple","Medium","Complex"},0)))</f>
        <v/>
      </c>
      <c r="C37" s="28">
        <f>IF($I37="","",INDEX('Page Bundles'!$C$5:$E$300,$I37,MATCH($F$33,{"Simple","Medium","Complex"},0)))</f>
        <v/>
      </c>
      <c r="D37" s="22">
        <f>IF($I37="","",E37/C37)</f>
        <v/>
      </c>
      <c r="E37" s="22">
        <f>IF($I37="","",INDEX('Page Bundles'!$I$5:$K$300,$I37,MATCH($F$33,{"Simple","Medium","Complex"},0)))</f>
        <v/>
      </c>
      <c r="F37" s="14">
        <f>IF($I37="","",IFERROR(INDEX('Component Catalogue'!$E$5:$G$150,MATCH($A37,'Component Catalogue'!$C$5:$C$150,0),MATCH($B37,{"Simple","Medium","Complex"},0)),""))</f>
        <v/>
      </c>
      <c r="I37" s="29">
        <f>IFERROR(MATCH($B$33&amp;"|"&amp;2,CHOOSE(MATCH($F$33,{"Simple","Medium","Complex"},0),'Page Bundles'!$L$5:$L$300,'Page Bundles'!$M$5:$M$300,'Page Bundles'!$N$5:$N$300),0),"")</f>
        <v/>
      </c>
    </row>
    <row r="38">
      <c r="A38" s="5">
        <f>IF($I38="","",INDEX('Page Bundles'!$B$5:$B$300,$I38))</f>
        <v/>
      </c>
      <c r="B38" s="28">
        <f>IF($I38="","",INDEX('Page Bundles'!$F$5:$H$300,$I38,MATCH($F$33,{"Simple","Medium","Complex"},0)))</f>
        <v/>
      </c>
      <c r="C38" s="28">
        <f>IF($I38="","",INDEX('Page Bundles'!$C$5:$E$300,$I38,MATCH($F$33,{"Simple","Medium","Complex"},0)))</f>
        <v/>
      </c>
      <c r="D38" s="22">
        <f>IF($I38="","",E38/C38)</f>
        <v/>
      </c>
      <c r="E38" s="22">
        <f>IF($I38="","",INDEX('Page Bundles'!$I$5:$K$300,$I38,MATCH($F$33,{"Simple","Medium","Complex"},0)))</f>
        <v/>
      </c>
      <c r="F38" s="14">
        <f>IF($I38="","",IFERROR(INDEX('Component Catalogue'!$E$5:$G$150,MATCH($A38,'Component Catalogue'!$C$5:$C$150,0),MATCH($B38,{"Simple","Medium","Complex"},0)),""))</f>
        <v/>
      </c>
      <c r="I38" s="29">
        <f>IFERROR(MATCH($B$33&amp;"|"&amp;3,CHOOSE(MATCH($F$33,{"Simple","Medium","Complex"},0),'Page Bundles'!$L$5:$L$300,'Page Bundles'!$M$5:$M$300,'Page Bundles'!$N$5:$N$300),0),"")</f>
        <v/>
      </c>
    </row>
    <row r="39">
      <c r="A39" s="5">
        <f>IF($I39="","",INDEX('Page Bundles'!$B$5:$B$300,$I39))</f>
        <v/>
      </c>
      <c r="B39" s="28">
        <f>IF($I39="","",INDEX('Page Bundles'!$F$5:$H$300,$I39,MATCH($F$33,{"Simple","Medium","Complex"},0)))</f>
        <v/>
      </c>
      <c r="C39" s="28">
        <f>IF($I39="","",INDEX('Page Bundles'!$C$5:$E$300,$I39,MATCH($F$33,{"Simple","Medium","Complex"},0)))</f>
        <v/>
      </c>
      <c r="D39" s="22">
        <f>IF($I39="","",E39/C39)</f>
        <v/>
      </c>
      <c r="E39" s="22">
        <f>IF($I39="","",INDEX('Page Bundles'!$I$5:$K$300,$I39,MATCH($F$33,{"Simple","Medium","Complex"},0)))</f>
        <v/>
      </c>
      <c r="F39" s="14">
        <f>IF($I39="","",IFERROR(INDEX('Component Catalogue'!$E$5:$G$150,MATCH($A39,'Component Catalogue'!$C$5:$C$150,0),MATCH($B39,{"Simple","Medium","Complex"},0)),""))</f>
        <v/>
      </c>
      <c r="I39" s="29">
        <f>IFERROR(MATCH($B$33&amp;"|"&amp;4,CHOOSE(MATCH($F$33,{"Simple","Medium","Complex"},0),'Page Bundles'!$L$5:$L$300,'Page Bundles'!$M$5:$M$300,'Page Bundles'!$N$5:$N$300),0),"")</f>
        <v/>
      </c>
    </row>
    <row r="40">
      <c r="A40" s="5">
        <f>IF($I40="","",INDEX('Page Bundles'!$B$5:$B$300,$I40))</f>
        <v/>
      </c>
      <c r="B40" s="28">
        <f>IF($I40="","",INDEX('Page Bundles'!$F$5:$H$300,$I40,MATCH($F$33,{"Simple","Medium","Complex"},0)))</f>
        <v/>
      </c>
      <c r="C40" s="28">
        <f>IF($I40="","",INDEX('Page Bundles'!$C$5:$E$300,$I40,MATCH($F$33,{"Simple","Medium","Complex"},0)))</f>
        <v/>
      </c>
      <c r="D40" s="22">
        <f>IF($I40="","",E40/C40)</f>
        <v/>
      </c>
      <c r="E40" s="22">
        <f>IF($I40="","",INDEX('Page Bundles'!$I$5:$K$300,$I40,MATCH($F$33,{"Simple","Medium","Complex"},0)))</f>
        <v/>
      </c>
      <c r="F40" s="14">
        <f>IF($I40="","",IFERROR(INDEX('Component Catalogue'!$E$5:$G$150,MATCH($A40,'Component Catalogue'!$C$5:$C$150,0),MATCH($B40,{"Simple","Medium","Complex"},0)),""))</f>
        <v/>
      </c>
      <c r="I40" s="29">
        <f>IFERROR(MATCH($B$33&amp;"|"&amp;5,CHOOSE(MATCH($F$33,{"Simple","Medium","Complex"},0),'Page Bundles'!$L$5:$L$300,'Page Bundles'!$M$5:$M$300,'Page Bundles'!$N$5:$N$300),0),"")</f>
        <v/>
      </c>
    </row>
    <row r="41">
      <c r="A41" s="5">
        <f>IF($I41="","",INDEX('Page Bundles'!$B$5:$B$300,$I41))</f>
        <v/>
      </c>
      <c r="B41" s="28">
        <f>IF($I41="","",INDEX('Page Bundles'!$F$5:$H$300,$I41,MATCH($F$33,{"Simple","Medium","Complex"},0)))</f>
        <v/>
      </c>
      <c r="C41" s="28">
        <f>IF($I41="","",INDEX('Page Bundles'!$C$5:$E$300,$I41,MATCH($F$33,{"Simple","Medium","Complex"},0)))</f>
        <v/>
      </c>
      <c r="D41" s="22">
        <f>IF($I41="","",E41/C41)</f>
        <v/>
      </c>
      <c r="E41" s="22">
        <f>IF($I41="","",INDEX('Page Bundles'!$I$5:$K$300,$I41,MATCH($F$33,{"Simple","Medium","Complex"},0)))</f>
        <v/>
      </c>
      <c r="F41" s="14">
        <f>IF($I41="","",IFERROR(INDEX('Component Catalogue'!$E$5:$G$150,MATCH($A41,'Component Catalogue'!$C$5:$C$150,0),MATCH($B41,{"Simple","Medium","Complex"},0)),""))</f>
        <v/>
      </c>
      <c r="I41" s="29">
        <f>IFERROR(MATCH($B$33&amp;"|"&amp;6,CHOOSE(MATCH($F$33,{"Simple","Medium","Complex"},0),'Page Bundles'!$L$5:$L$300,'Page Bundles'!$M$5:$M$300,'Page Bundles'!$N$5:$N$300),0),"")</f>
        <v/>
      </c>
    </row>
    <row r="42">
      <c r="A42" s="5">
        <f>IF($I42="","",INDEX('Page Bundles'!$B$5:$B$300,$I42))</f>
        <v/>
      </c>
      <c r="B42" s="28">
        <f>IF($I42="","",INDEX('Page Bundles'!$F$5:$H$300,$I42,MATCH($F$33,{"Simple","Medium","Complex"},0)))</f>
        <v/>
      </c>
      <c r="C42" s="28">
        <f>IF($I42="","",INDEX('Page Bundles'!$C$5:$E$300,$I42,MATCH($F$33,{"Simple","Medium","Complex"},0)))</f>
        <v/>
      </c>
      <c r="D42" s="22">
        <f>IF($I42="","",E42/C42)</f>
        <v/>
      </c>
      <c r="E42" s="22">
        <f>IF($I42="","",INDEX('Page Bundles'!$I$5:$K$300,$I42,MATCH($F$33,{"Simple","Medium","Complex"},0)))</f>
        <v/>
      </c>
      <c r="F42" s="14">
        <f>IF($I42="","",IFERROR(INDEX('Component Catalogue'!$E$5:$G$150,MATCH($A42,'Component Catalogue'!$C$5:$C$150,0),MATCH($B42,{"Simple","Medium","Complex"},0)),""))</f>
        <v/>
      </c>
      <c r="I42" s="29">
        <f>IFERROR(MATCH($B$33&amp;"|"&amp;7,CHOOSE(MATCH($F$33,{"Simple","Medium","Complex"},0),'Page Bundles'!$L$5:$L$300,'Page Bundles'!$M$5:$M$300,'Page Bundles'!$N$5:$N$300),0),"")</f>
        <v/>
      </c>
    </row>
    <row r="43">
      <c r="A43" s="5">
        <f>IF($I43="","",INDEX('Page Bundles'!$B$5:$B$300,$I43))</f>
        <v/>
      </c>
      <c r="B43" s="28">
        <f>IF($I43="","",INDEX('Page Bundles'!$F$5:$H$300,$I43,MATCH($F$33,{"Simple","Medium","Complex"},0)))</f>
        <v/>
      </c>
      <c r="C43" s="28">
        <f>IF($I43="","",INDEX('Page Bundles'!$C$5:$E$300,$I43,MATCH($F$33,{"Simple","Medium","Complex"},0)))</f>
        <v/>
      </c>
      <c r="D43" s="22">
        <f>IF($I43="","",E43/C43)</f>
        <v/>
      </c>
      <c r="E43" s="22">
        <f>IF($I43="","",INDEX('Page Bundles'!$I$5:$K$300,$I43,MATCH($F$33,{"Simple","Medium","Complex"},0)))</f>
        <v/>
      </c>
      <c r="F43" s="14">
        <f>IF($I43="","",IFERROR(INDEX('Component Catalogue'!$E$5:$G$150,MATCH($A43,'Component Catalogue'!$C$5:$C$150,0),MATCH($B43,{"Simple","Medium","Complex"},0)),""))</f>
        <v/>
      </c>
      <c r="I43" s="29">
        <f>IFERROR(MATCH($B$33&amp;"|"&amp;8,CHOOSE(MATCH($F$33,{"Simple","Medium","Complex"},0),'Page Bundles'!$L$5:$L$300,'Page Bundles'!$M$5:$M$300,'Page Bundles'!$N$5:$N$300),0),"")</f>
        <v/>
      </c>
    </row>
    <row r="44">
      <c r="A44" s="5">
        <f>IF($I44="","",INDEX('Page Bundles'!$B$5:$B$300,$I44))</f>
        <v/>
      </c>
      <c r="B44" s="28">
        <f>IF($I44="","",INDEX('Page Bundles'!$F$5:$H$300,$I44,MATCH($F$33,{"Simple","Medium","Complex"},0)))</f>
        <v/>
      </c>
      <c r="C44" s="28">
        <f>IF($I44="","",INDEX('Page Bundles'!$C$5:$E$300,$I44,MATCH($F$33,{"Simple","Medium","Complex"},0)))</f>
        <v/>
      </c>
      <c r="D44" s="22">
        <f>IF($I44="","",E44/C44)</f>
        <v/>
      </c>
      <c r="E44" s="22">
        <f>IF($I44="","",INDEX('Page Bundles'!$I$5:$K$300,$I44,MATCH($F$33,{"Simple","Medium","Complex"},0)))</f>
        <v/>
      </c>
      <c r="F44" s="14">
        <f>IF($I44="","",IFERROR(INDEX('Component Catalogue'!$E$5:$G$150,MATCH($A44,'Component Catalogue'!$C$5:$C$150,0),MATCH($B44,{"Simple","Medium","Complex"},0)),""))</f>
        <v/>
      </c>
      <c r="I44" s="29">
        <f>IFERROR(MATCH($B$33&amp;"|"&amp;9,CHOOSE(MATCH($F$33,{"Simple","Medium","Complex"},0),'Page Bundles'!$L$5:$L$300,'Page Bundles'!$M$5:$M$300,'Page Bundles'!$N$5:$N$300),0),"")</f>
        <v/>
      </c>
    </row>
    <row r="45">
      <c r="A45" s="23" t="inlineStr">
        <is>
          <t>Hours for ONE page of this type and level</t>
        </is>
      </c>
      <c r="B45" s="25" t="n"/>
      <c r="C45" s="25" t="n"/>
      <c r="D45" s="25" t="n"/>
      <c r="E45" s="26">
        <f>SUM(E36:E44)</f>
        <v/>
      </c>
      <c r="F45" s="30">
        <f>IF(ABS(E45-IFERROR(INDEX('Page Templates'!$G$5:$I$15,MATCH($B$33,'Page Templates'!$A$5:$A$15,0),MATCH($F$33,{"Simple","Medium","Complex"},0)),0))&lt;0.05,"Matches the hours per page used in Section A","Differs from Page Templates - check Page Bundles")</f>
        <v/>
      </c>
    </row>
    <row r="47">
      <c r="A47" s="3" t="inlineStr">
        <is>
          <t>B. ADDITIONAL SHARED COMPONENTS - pick from the catalogue (app shell, navigation, individual widgets, etc.)</t>
        </is>
      </c>
    </row>
    <row r="48">
      <c r="A48" s="12" t="inlineStr">
        <is>
          <t>Component (pick from list)</t>
        </is>
      </c>
      <c r="B48" s="12" t="inlineStr">
        <is>
          <t>Complexity</t>
        </is>
      </c>
      <c r="C48" s="12" t="inlineStr">
        <is>
          <t>Quantity</t>
        </is>
      </c>
      <c r="D48" s="12" t="inlineStr">
        <is>
          <t>Layer</t>
        </is>
      </c>
      <c r="E48" s="12" t="inlineStr">
        <is>
          <t>Hrs per unit</t>
        </is>
      </c>
      <c r="F48" s="12" t="inlineStr">
        <is>
          <t>Total hours (without AI)</t>
        </is>
      </c>
      <c r="G48" s="12" t="inlineStr">
        <is>
          <t>Unit</t>
        </is>
      </c>
    </row>
    <row r="49">
      <c r="A49" s="7" t="inlineStr">
        <is>
          <t>App shell &amp; routing</t>
        </is>
      </c>
      <c r="B49" s="10" t="inlineStr">
        <is>
          <t>Medium</t>
        </is>
      </c>
      <c r="C49" s="10" t="n">
        <v>1</v>
      </c>
      <c r="D49" s="28">
        <f>IFERROR(INDEX('Component Catalogue'!$B$5:$B$150,MATCH($A49,'Component Catalogue'!$C$5:$C$150,0)),"")</f>
        <v/>
      </c>
      <c r="E49" s="22">
        <f>IF(OR($A49="",$B49=""),0,IFERROR(INDEX('Component Catalogue'!$H$5:$J$150,MATCH($A49,'Component Catalogue'!$C$5:$C$150,0),MATCH($B49,'Component Catalogue'!$H$4:$J$4,0)),0))</f>
        <v/>
      </c>
      <c r="F49" s="13">
        <f>C49*E49</f>
        <v/>
      </c>
      <c r="G49" s="14">
        <f>IFERROR(INDEX('Component Catalogue'!$D$5:$D$150,MATCH($A49,'Component Catalogue'!$C$5:$C$150,0)),"")</f>
        <v/>
      </c>
    </row>
    <row r="50">
      <c r="A50" s="7" t="inlineStr">
        <is>
          <t>Sidebar navigation</t>
        </is>
      </c>
      <c r="B50" s="10" t="inlineStr">
        <is>
          <t>Medium</t>
        </is>
      </c>
      <c r="C50" s="10" t="n">
        <v>1</v>
      </c>
      <c r="D50" s="28">
        <f>IFERROR(INDEX('Component Catalogue'!$B$5:$B$150,MATCH($A50,'Component Catalogue'!$C$5:$C$150,0)),"")</f>
        <v/>
      </c>
      <c r="E50" s="22">
        <f>IF(OR($A50="",$B50=""),0,IFERROR(INDEX('Component Catalogue'!$H$5:$J$150,MATCH($A50,'Component Catalogue'!$C$5:$C$150,0),MATCH($B50,'Component Catalogue'!$H$4:$J$4,0)),0))</f>
        <v/>
      </c>
      <c r="F50" s="13">
        <f>C50*E50</f>
        <v/>
      </c>
      <c r="G50" s="14">
        <f>IFERROR(INDEX('Component Catalogue'!$D$5:$D$150,MATCH($A50,'Component Catalogue'!$C$5:$C$150,0)),"")</f>
        <v/>
      </c>
    </row>
    <row r="51">
      <c r="A51" s="7" t="inlineStr">
        <is>
          <t>Top header / app bar</t>
        </is>
      </c>
      <c r="B51" s="10" t="inlineStr">
        <is>
          <t>Medium</t>
        </is>
      </c>
      <c r="C51" s="10" t="n">
        <v>1</v>
      </c>
      <c r="D51" s="28">
        <f>IFERROR(INDEX('Component Catalogue'!$B$5:$B$150,MATCH($A51,'Component Catalogue'!$C$5:$C$150,0)),"")</f>
        <v/>
      </c>
      <c r="E51" s="22">
        <f>IF(OR($A51="",$B51=""),0,IFERROR(INDEX('Component Catalogue'!$H$5:$J$150,MATCH($A51,'Component Catalogue'!$C$5:$C$150,0),MATCH($B51,'Component Catalogue'!$H$4:$J$4,0)),0))</f>
        <v/>
      </c>
      <c r="F51" s="13">
        <f>C51*E51</f>
        <v/>
      </c>
      <c r="G51" s="14">
        <f>IFERROR(INDEX('Component Catalogue'!$D$5:$D$150,MATCH($A51,'Component Catalogue'!$C$5:$C$150,0)),"")</f>
        <v/>
      </c>
    </row>
    <row r="52">
      <c r="A52" s="7" t="inlineStr">
        <is>
          <t>Theme &amp; design tokens</t>
        </is>
      </c>
      <c r="B52" s="10" t="inlineStr">
        <is>
          <t>Simple</t>
        </is>
      </c>
      <c r="C52" s="10" t="n">
        <v>1</v>
      </c>
      <c r="D52" s="28">
        <f>IFERROR(INDEX('Component Catalogue'!$B$5:$B$150,MATCH($A52,'Component Catalogue'!$C$5:$C$150,0)),"")</f>
        <v/>
      </c>
      <c r="E52" s="22">
        <f>IF(OR($A52="",$B52=""),0,IFERROR(INDEX('Component Catalogue'!$H$5:$J$150,MATCH($A52,'Component Catalogue'!$C$5:$C$150,0),MATCH($B52,'Component Catalogue'!$H$4:$J$4,0)),0))</f>
        <v/>
      </c>
      <c r="F52" s="13">
        <f>C52*E52</f>
        <v/>
      </c>
      <c r="G52" s="14">
        <f>IFERROR(INDEX('Component Catalogue'!$D$5:$D$150,MATCH($A52,'Component Catalogue'!$C$5:$C$150,0)),"")</f>
        <v/>
      </c>
    </row>
    <row r="53">
      <c r="A53" s="7" t="inlineStr">
        <is>
          <t>Toast, alert &amp; banner notifications</t>
        </is>
      </c>
      <c r="B53" s="10" t="inlineStr">
        <is>
          <t>Medium</t>
        </is>
      </c>
      <c r="C53" s="10" t="n">
        <v>1</v>
      </c>
      <c r="D53" s="28">
        <f>IFERROR(INDEX('Component Catalogue'!$B$5:$B$150,MATCH($A53,'Component Catalogue'!$C$5:$C$150,0)),"")</f>
        <v/>
      </c>
      <c r="E53" s="22">
        <f>IF(OR($A53="",$B53=""),0,IFERROR(INDEX('Component Catalogue'!$H$5:$J$150,MATCH($A53,'Component Catalogue'!$C$5:$C$150,0),MATCH($B53,'Component Catalogue'!$H$4:$J$4,0)),0))</f>
        <v/>
      </c>
      <c r="F53" s="13">
        <f>C53*E53</f>
        <v/>
      </c>
      <c r="G53" s="14">
        <f>IFERROR(INDEX('Component Catalogue'!$D$5:$D$150,MATCH($A53,'Component Catalogue'!$C$5:$C$150,0)),"")</f>
        <v/>
      </c>
    </row>
    <row r="54">
      <c r="A54" s="7" t="inlineStr">
        <is>
          <t>Role-based UI rendering</t>
        </is>
      </c>
      <c r="B54" s="10" t="inlineStr">
        <is>
          <t>Medium</t>
        </is>
      </c>
      <c r="C54" s="10" t="n">
        <v>1</v>
      </c>
      <c r="D54" s="28">
        <f>IFERROR(INDEX('Component Catalogue'!$B$5:$B$150,MATCH($A54,'Component Catalogue'!$C$5:$C$150,0)),"")</f>
        <v/>
      </c>
      <c r="E54" s="22">
        <f>IF(OR($A54="",$B54=""),0,IFERROR(INDEX('Component Catalogue'!$H$5:$J$150,MATCH($A54,'Component Catalogue'!$C$5:$C$150,0),MATCH($B54,'Component Catalogue'!$H$4:$J$4,0)),0))</f>
        <v/>
      </c>
      <c r="F54" s="13">
        <f>C54*E54</f>
        <v/>
      </c>
      <c r="G54" s="14">
        <f>IFERROR(INDEX('Component Catalogue'!$D$5:$D$150,MATCH($A54,'Component Catalogue'!$C$5:$C$150,0)),"")</f>
        <v/>
      </c>
    </row>
    <row r="55">
      <c r="A55" s="7" t="inlineStr">
        <is>
          <t>Session handling</t>
        </is>
      </c>
      <c r="B55" s="10" t="inlineStr">
        <is>
          <t>Medium</t>
        </is>
      </c>
      <c r="C55" s="10" t="n">
        <v>1</v>
      </c>
      <c r="D55" s="28">
        <f>IFERROR(INDEX('Component Catalogue'!$B$5:$B$150,MATCH($A55,'Component Catalogue'!$C$5:$C$150,0)),"")</f>
        <v/>
      </c>
      <c r="E55" s="22">
        <f>IF(OR($A55="",$B55=""),0,IFERROR(INDEX('Component Catalogue'!$H$5:$J$150,MATCH($A55,'Component Catalogue'!$C$5:$C$150,0),MATCH($B55,'Component Catalogue'!$H$4:$J$4,0)),0))</f>
        <v/>
      </c>
      <c r="F55" s="13">
        <f>C55*E55</f>
        <v/>
      </c>
      <c r="G55" s="14">
        <f>IFERROR(INDEX('Component Catalogue'!$D$5:$D$150,MATCH($A55,'Component Catalogue'!$C$5:$C$150,0)),"")</f>
        <v/>
      </c>
    </row>
    <row r="56">
      <c r="A56" s="7" t="n"/>
      <c r="B56" s="10" t="n"/>
      <c r="C56" s="10" t="n"/>
      <c r="D56" s="28">
        <f>IFERROR(INDEX('Component Catalogue'!$B$5:$B$150,MATCH($A56,'Component Catalogue'!$C$5:$C$150,0)),"")</f>
        <v/>
      </c>
      <c r="E56" s="22">
        <f>IF(OR($A56="",$B56=""),0,IFERROR(INDEX('Component Catalogue'!$H$5:$J$150,MATCH($A56,'Component Catalogue'!$C$5:$C$150,0),MATCH($B56,'Component Catalogue'!$H$4:$J$4,0)),0))</f>
        <v/>
      </c>
      <c r="F56" s="13">
        <f>C56*E56</f>
        <v/>
      </c>
      <c r="G56" s="14">
        <f>IFERROR(INDEX('Component Catalogue'!$D$5:$D$150,MATCH($A56,'Component Catalogue'!$C$5:$C$150,0)),"")</f>
        <v/>
      </c>
    </row>
    <row r="57">
      <c r="A57" s="7" t="n"/>
      <c r="B57" s="10" t="n"/>
      <c r="C57" s="10" t="n"/>
      <c r="D57" s="28">
        <f>IFERROR(INDEX('Component Catalogue'!$B$5:$B$150,MATCH($A57,'Component Catalogue'!$C$5:$C$150,0)),"")</f>
        <v/>
      </c>
      <c r="E57" s="22">
        <f>IF(OR($A57="",$B57=""),0,IFERROR(INDEX('Component Catalogue'!$H$5:$J$150,MATCH($A57,'Component Catalogue'!$C$5:$C$150,0),MATCH($B57,'Component Catalogue'!$H$4:$J$4,0)),0))</f>
        <v/>
      </c>
      <c r="F57" s="13">
        <f>C57*E57</f>
        <v/>
      </c>
      <c r="G57" s="14">
        <f>IFERROR(INDEX('Component Catalogue'!$D$5:$D$150,MATCH($A57,'Component Catalogue'!$C$5:$C$150,0)),"")</f>
        <v/>
      </c>
    </row>
    <row r="58">
      <c r="A58" s="7" t="n"/>
      <c r="B58" s="10" t="n"/>
      <c r="C58" s="10" t="n"/>
      <c r="D58" s="28">
        <f>IFERROR(INDEX('Component Catalogue'!$B$5:$B$150,MATCH($A58,'Component Catalogue'!$C$5:$C$150,0)),"")</f>
        <v/>
      </c>
      <c r="E58" s="22">
        <f>IF(OR($A58="",$B58=""),0,IFERROR(INDEX('Component Catalogue'!$H$5:$J$150,MATCH($A58,'Component Catalogue'!$C$5:$C$150,0),MATCH($B58,'Component Catalogue'!$H$4:$J$4,0)),0))</f>
        <v/>
      </c>
      <c r="F58" s="13">
        <f>C58*E58</f>
        <v/>
      </c>
      <c r="G58" s="14">
        <f>IFERROR(INDEX('Component Catalogue'!$D$5:$D$150,MATCH($A58,'Component Catalogue'!$C$5:$C$150,0)),"")</f>
        <v/>
      </c>
    </row>
    <row r="59">
      <c r="A59" s="7" t="n"/>
      <c r="B59" s="10" t="n"/>
      <c r="C59" s="10" t="n"/>
      <c r="D59" s="28">
        <f>IFERROR(INDEX('Component Catalogue'!$B$5:$B$150,MATCH($A59,'Component Catalogue'!$C$5:$C$150,0)),"")</f>
        <v/>
      </c>
      <c r="E59" s="22">
        <f>IF(OR($A59="",$B59=""),0,IFERROR(INDEX('Component Catalogue'!$H$5:$J$150,MATCH($A59,'Component Catalogue'!$C$5:$C$150,0),MATCH($B59,'Component Catalogue'!$H$4:$J$4,0)),0))</f>
        <v/>
      </c>
      <c r="F59" s="13">
        <f>C59*E59</f>
        <v/>
      </c>
      <c r="G59" s="14">
        <f>IFERROR(INDEX('Component Catalogue'!$D$5:$D$150,MATCH($A59,'Component Catalogue'!$C$5:$C$150,0)),"")</f>
        <v/>
      </c>
    </row>
    <row r="60">
      <c r="A60" s="7" t="n"/>
      <c r="B60" s="10" t="n"/>
      <c r="C60" s="10" t="n"/>
      <c r="D60" s="28">
        <f>IFERROR(INDEX('Component Catalogue'!$B$5:$B$150,MATCH($A60,'Component Catalogue'!$C$5:$C$150,0)),"")</f>
        <v/>
      </c>
      <c r="E60" s="22">
        <f>IF(OR($A60="",$B60=""),0,IFERROR(INDEX('Component Catalogue'!$H$5:$J$150,MATCH($A60,'Component Catalogue'!$C$5:$C$150,0),MATCH($B60,'Component Catalogue'!$H$4:$J$4,0)),0))</f>
        <v/>
      </c>
      <c r="F60" s="13">
        <f>C60*E60</f>
        <v/>
      </c>
      <c r="G60" s="14">
        <f>IFERROR(INDEX('Component Catalogue'!$D$5:$D$150,MATCH($A60,'Component Catalogue'!$C$5:$C$150,0)),"")</f>
        <v/>
      </c>
    </row>
    <row r="61">
      <c r="A61" s="7" t="n"/>
      <c r="B61" s="10" t="n"/>
      <c r="C61" s="10" t="n"/>
      <c r="D61" s="28">
        <f>IFERROR(INDEX('Component Catalogue'!$B$5:$B$150,MATCH($A61,'Component Catalogue'!$C$5:$C$150,0)),"")</f>
        <v/>
      </c>
      <c r="E61" s="22">
        <f>IF(OR($A61="",$B61=""),0,IFERROR(INDEX('Component Catalogue'!$H$5:$J$150,MATCH($A61,'Component Catalogue'!$C$5:$C$150,0),MATCH($B61,'Component Catalogue'!$H$4:$J$4,0)),0))</f>
        <v/>
      </c>
      <c r="F61" s="13">
        <f>C61*E61</f>
        <v/>
      </c>
      <c r="G61" s="14">
        <f>IFERROR(INDEX('Component Catalogue'!$D$5:$D$150,MATCH($A61,'Component Catalogue'!$C$5:$C$150,0)),"")</f>
        <v/>
      </c>
    </row>
    <row r="62">
      <c r="A62" s="7" t="n"/>
      <c r="B62" s="10" t="n"/>
      <c r="C62" s="10" t="n"/>
      <c r="D62" s="28">
        <f>IFERROR(INDEX('Component Catalogue'!$B$5:$B$150,MATCH($A62,'Component Catalogue'!$C$5:$C$150,0)),"")</f>
        <v/>
      </c>
      <c r="E62" s="22">
        <f>IF(OR($A62="",$B62=""),0,IFERROR(INDEX('Component Catalogue'!$H$5:$J$150,MATCH($A62,'Component Catalogue'!$C$5:$C$150,0),MATCH($B62,'Component Catalogue'!$H$4:$J$4,0)),0))</f>
        <v/>
      </c>
      <c r="F62" s="13">
        <f>C62*E62</f>
        <v/>
      </c>
      <c r="G62" s="14">
        <f>IFERROR(INDEX('Component Catalogue'!$D$5:$D$150,MATCH($A62,'Component Catalogue'!$C$5:$C$150,0)),"")</f>
        <v/>
      </c>
    </row>
    <row r="63">
      <c r="A63" s="7" t="n"/>
      <c r="B63" s="10" t="n"/>
      <c r="C63" s="10" t="n"/>
      <c r="D63" s="28">
        <f>IFERROR(INDEX('Component Catalogue'!$B$5:$B$150,MATCH($A63,'Component Catalogue'!$C$5:$C$150,0)),"")</f>
        <v/>
      </c>
      <c r="E63" s="22">
        <f>IF(OR($A63="",$B63=""),0,IFERROR(INDEX('Component Catalogue'!$H$5:$J$150,MATCH($A63,'Component Catalogue'!$C$5:$C$150,0),MATCH($B63,'Component Catalogue'!$H$4:$J$4,0)),0))</f>
        <v/>
      </c>
      <c r="F63" s="13">
        <f>C63*E63</f>
        <v/>
      </c>
      <c r="G63" s="14">
        <f>IFERROR(INDEX('Component Catalogue'!$D$5:$D$150,MATCH($A63,'Component Catalogue'!$C$5:$C$150,0)),"")</f>
        <v/>
      </c>
    </row>
    <row r="64">
      <c r="A64" s="23" t="inlineStr">
        <is>
          <t>Total - additional components</t>
        </is>
      </c>
      <c r="B64" s="25" t="n"/>
      <c r="C64" s="25" t="n"/>
      <c r="D64" s="25" t="n"/>
      <c r="E64" s="25" t="n"/>
      <c r="F64" s="26">
        <f>SUM(F49:F63)</f>
        <v/>
      </c>
    </row>
    <row r="66">
      <c r="A66" s="3" t="inlineStr">
        <is>
          <t>C. BACKEND APIs - enter how many endpoints / services of each type and complexity</t>
        </is>
      </c>
    </row>
    <row r="67">
      <c r="A67" s="12" t="inlineStr">
        <is>
          <t>API type</t>
        </is>
      </c>
      <c r="B67" s="19" t="inlineStr">
        <is>
          <t># Simple</t>
        </is>
      </c>
      <c r="C67" s="20" t="inlineStr">
        <is>
          <t># Medium</t>
        </is>
      </c>
      <c r="D67" s="21" t="inlineStr">
        <is>
          <t># Complex</t>
        </is>
      </c>
      <c r="E67" s="19" t="inlineStr">
        <is>
          <t>Hrs per Simple</t>
        </is>
      </c>
      <c r="F67" s="20" t="inlineStr">
        <is>
          <t>Hrs per Medium</t>
        </is>
      </c>
      <c r="G67" s="21" t="inlineStr">
        <is>
          <t>Hrs per Complex</t>
        </is>
      </c>
      <c r="H67" s="12" t="inlineStr">
        <is>
          <t>Total hours (without AI)</t>
        </is>
      </c>
    </row>
    <row r="68">
      <c r="A68" s="4" t="inlineStr">
        <is>
          <t>CRUD endpoint</t>
        </is>
      </c>
      <c r="B68" s="10" t="n">
        <v>0</v>
      </c>
      <c r="C68" s="10" t="n">
        <v>6</v>
      </c>
      <c r="D68" s="10" t="n">
        <v>0</v>
      </c>
      <c r="E68" s="22">
        <f>IFERROR(INDEX('Component Catalogue'!$H$5:$H$150,MATCH($A68,'Component Catalogue'!$C$5:$C$150,0)),0)</f>
        <v/>
      </c>
      <c r="F68" s="22">
        <f>IFERROR(INDEX('Component Catalogue'!$I$5:$I$150,MATCH($A68,'Component Catalogue'!$C$5:$C$150,0)),0)</f>
        <v/>
      </c>
      <c r="G68" s="22">
        <f>IFERROR(INDEX('Component Catalogue'!$J$5:$J$150,MATCH($A68,'Component Catalogue'!$C$5:$C$150,0)),0)</f>
        <v/>
      </c>
      <c r="H68" s="13">
        <f>B68*E68+C68*F68+D68*G68</f>
        <v/>
      </c>
    </row>
    <row r="69">
      <c r="A69" s="4" t="inlineStr">
        <is>
          <t>List / search endpoint</t>
        </is>
      </c>
      <c r="B69" s="10" t="n">
        <v>2</v>
      </c>
      <c r="C69" s="10" t="n">
        <v>3</v>
      </c>
      <c r="D69" s="10" t="n">
        <v>0</v>
      </c>
      <c r="E69" s="22">
        <f>IFERROR(INDEX('Component Catalogue'!$H$5:$H$150,MATCH($A69,'Component Catalogue'!$C$5:$C$150,0)),0)</f>
        <v/>
      </c>
      <c r="F69" s="22">
        <f>IFERROR(INDEX('Component Catalogue'!$I$5:$I$150,MATCH($A69,'Component Catalogue'!$C$5:$C$150,0)),0)</f>
        <v/>
      </c>
      <c r="G69" s="22">
        <f>IFERROR(INDEX('Component Catalogue'!$J$5:$J$150,MATCH($A69,'Component Catalogue'!$C$5:$C$150,0)),0)</f>
        <v/>
      </c>
      <c r="H69" s="13">
        <f>B69*E69+C69*F69+D69*G69</f>
        <v/>
      </c>
    </row>
    <row r="70">
      <c r="A70" s="4" t="inlineStr">
        <is>
          <t>Aggregation / analytics endpoint</t>
        </is>
      </c>
      <c r="B70" s="10" t="n">
        <v>0</v>
      </c>
      <c r="C70" s="10" t="n">
        <v>2</v>
      </c>
      <c r="D70" s="10" t="n">
        <v>1</v>
      </c>
      <c r="E70" s="22">
        <f>IFERROR(INDEX('Component Catalogue'!$H$5:$H$150,MATCH($A70,'Component Catalogue'!$C$5:$C$150,0)),0)</f>
        <v/>
      </c>
      <c r="F70" s="22">
        <f>IFERROR(INDEX('Component Catalogue'!$I$5:$I$150,MATCH($A70,'Component Catalogue'!$C$5:$C$150,0)),0)</f>
        <v/>
      </c>
      <c r="G70" s="22">
        <f>IFERROR(INDEX('Component Catalogue'!$J$5:$J$150,MATCH($A70,'Component Catalogue'!$C$5:$C$150,0)),0)</f>
        <v/>
      </c>
      <c r="H70" s="13">
        <f>B70*E70+C70*F70+D70*G70</f>
        <v/>
      </c>
    </row>
    <row r="71">
      <c r="A71" s="4" t="inlineStr">
        <is>
          <t>Authentication endpoint</t>
        </is>
      </c>
      <c r="B71" s="10" t="n">
        <v>0</v>
      </c>
      <c r="C71" s="10" t="n">
        <v>1</v>
      </c>
      <c r="D71" s="10" t="n">
        <v>0</v>
      </c>
      <c r="E71" s="22">
        <f>IFERROR(INDEX('Component Catalogue'!$H$5:$H$150,MATCH($A71,'Component Catalogue'!$C$5:$C$150,0)),0)</f>
        <v/>
      </c>
      <c r="F71" s="22">
        <f>IFERROR(INDEX('Component Catalogue'!$I$5:$I$150,MATCH($A71,'Component Catalogue'!$C$5:$C$150,0)),0)</f>
        <v/>
      </c>
      <c r="G71" s="22">
        <f>IFERROR(INDEX('Component Catalogue'!$J$5:$J$150,MATCH($A71,'Component Catalogue'!$C$5:$C$150,0)),0)</f>
        <v/>
      </c>
      <c r="H71" s="13">
        <f>B71*E71+C71*F71+D71*G71</f>
        <v/>
      </c>
    </row>
    <row r="72">
      <c r="A72" s="4" t="inlineStr">
        <is>
          <t>Authorisation / RBAC layer</t>
        </is>
      </c>
      <c r="B72" s="10" t="n">
        <v>0</v>
      </c>
      <c r="C72" s="10" t="n">
        <v>1</v>
      </c>
      <c r="D72" s="10" t="n">
        <v>0</v>
      </c>
      <c r="E72" s="22">
        <f>IFERROR(INDEX('Component Catalogue'!$H$5:$H$150,MATCH($A72,'Component Catalogue'!$C$5:$C$150,0)),0)</f>
        <v/>
      </c>
      <c r="F72" s="22">
        <f>IFERROR(INDEX('Component Catalogue'!$I$5:$I$150,MATCH($A72,'Component Catalogue'!$C$5:$C$150,0)),0)</f>
        <v/>
      </c>
      <c r="G72" s="22">
        <f>IFERROR(INDEX('Component Catalogue'!$J$5:$J$150,MATCH($A72,'Component Catalogue'!$C$5:$C$150,0)),0)</f>
        <v/>
      </c>
      <c r="H72" s="13">
        <f>B72*E72+C72*F72+D72*G72</f>
        <v/>
      </c>
    </row>
    <row r="73">
      <c r="A73" s="4" t="inlineStr">
        <is>
          <t>File upload / download endpoint</t>
        </is>
      </c>
      <c r="B73" s="10" t="n">
        <v>0</v>
      </c>
      <c r="C73" s="10" t="n">
        <v>0</v>
      </c>
      <c r="D73" s="10" t="n">
        <v>0</v>
      </c>
      <c r="E73" s="22">
        <f>IFERROR(INDEX('Component Catalogue'!$H$5:$H$150,MATCH($A73,'Component Catalogue'!$C$5:$C$150,0)),0)</f>
        <v/>
      </c>
      <c r="F73" s="22">
        <f>IFERROR(INDEX('Component Catalogue'!$I$5:$I$150,MATCH($A73,'Component Catalogue'!$C$5:$C$150,0)),0)</f>
        <v/>
      </c>
      <c r="G73" s="22">
        <f>IFERROR(INDEX('Component Catalogue'!$J$5:$J$150,MATCH($A73,'Component Catalogue'!$C$5:$C$150,0)),0)</f>
        <v/>
      </c>
      <c r="H73" s="13">
        <f>B73*E73+C73*F73+D73*G73</f>
        <v/>
      </c>
    </row>
    <row r="74">
      <c r="A74" s="4" t="inlineStr">
        <is>
          <t>External system integration endpoint</t>
        </is>
      </c>
      <c r="B74" s="10" t="n">
        <v>0</v>
      </c>
      <c r="C74" s="10" t="n">
        <v>0</v>
      </c>
      <c r="D74" s="10" t="n">
        <v>0</v>
      </c>
      <c r="E74" s="22">
        <f>IFERROR(INDEX('Component Catalogue'!$H$5:$H$150,MATCH($A74,'Component Catalogue'!$C$5:$C$150,0)),0)</f>
        <v/>
      </c>
      <c r="F74" s="22">
        <f>IFERROR(INDEX('Component Catalogue'!$I$5:$I$150,MATCH($A74,'Component Catalogue'!$C$5:$C$150,0)),0)</f>
        <v/>
      </c>
      <c r="G74" s="22">
        <f>IFERROR(INDEX('Component Catalogue'!$J$5:$J$150,MATCH($A74,'Component Catalogue'!$C$5:$C$150,0)),0)</f>
        <v/>
      </c>
      <c r="H74" s="13">
        <f>B74*E74+C74*F74+D74*G74</f>
        <v/>
      </c>
    </row>
    <row r="75">
      <c r="A75" s="4" t="inlineStr">
        <is>
          <t>Real-time endpoint (SSE / WebSocket)</t>
        </is>
      </c>
      <c r="B75" s="10" t="n">
        <v>0</v>
      </c>
      <c r="C75" s="10" t="n">
        <v>0</v>
      </c>
      <c r="D75" s="10" t="n">
        <v>0</v>
      </c>
      <c r="E75" s="22">
        <f>IFERROR(INDEX('Component Catalogue'!$H$5:$H$150,MATCH($A75,'Component Catalogue'!$C$5:$C$150,0)),0)</f>
        <v/>
      </c>
      <c r="F75" s="22">
        <f>IFERROR(INDEX('Component Catalogue'!$I$5:$I$150,MATCH($A75,'Component Catalogue'!$C$5:$C$150,0)),0)</f>
        <v/>
      </c>
      <c r="G75" s="22">
        <f>IFERROR(INDEX('Component Catalogue'!$J$5:$J$150,MATCH($A75,'Component Catalogue'!$C$5:$C$150,0)),0)</f>
        <v/>
      </c>
      <c r="H75" s="13">
        <f>B75*E75+C75*F75+D75*G75</f>
        <v/>
      </c>
    </row>
    <row r="76">
      <c r="A76" s="4" t="inlineStr">
        <is>
          <t>Export / report endpoint</t>
        </is>
      </c>
      <c r="B76" s="10" t="n">
        <v>0</v>
      </c>
      <c r="C76" s="10" t="n">
        <v>0</v>
      </c>
      <c r="D76" s="10" t="n">
        <v>0</v>
      </c>
      <c r="E76" s="22">
        <f>IFERROR(INDEX('Component Catalogue'!$H$5:$H$150,MATCH($A76,'Component Catalogue'!$C$5:$C$150,0)),0)</f>
        <v/>
      </c>
      <c r="F76" s="22">
        <f>IFERROR(INDEX('Component Catalogue'!$I$5:$I$150,MATCH($A76,'Component Catalogue'!$C$5:$C$150,0)),0)</f>
        <v/>
      </c>
      <c r="G76" s="22">
        <f>IFERROR(INDEX('Component Catalogue'!$J$5:$J$150,MATCH($A76,'Component Catalogue'!$C$5:$C$150,0)),0)</f>
        <v/>
      </c>
      <c r="H76" s="13">
        <f>B76*E76+C76*F76+D76*G76</f>
        <v/>
      </c>
    </row>
    <row r="77">
      <c r="A77" s="4" t="inlineStr">
        <is>
          <t>Agent / LLM-facing endpoint</t>
        </is>
      </c>
      <c r="B77" s="10" t="n">
        <v>0</v>
      </c>
      <c r="C77" s="10" t="n">
        <v>0</v>
      </c>
      <c r="D77" s="10" t="n">
        <v>0</v>
      </c>
      <c r="E77" s="22">
        <f>IFERROR(INDEX('Component Catalogue'!$H$5:$H$150,MATCH($A77,'Component Catalogue'!$C$5:$C$150,0)),0)</f>
        <v/>
      </c>
      <c r="F77" s="22">
        <f>IFERROR(INDEX('Component Catalogue'!$I$5:$I$150,MATCH($A77,'Component Catalogue'!$C$5:$C$150,0)),0)</f>
        <v/>
      </c>
      <c r="G77" s="22">
        <f>IFERROR(INDEX('Component Catalogue'!$J$5:$J$150,MATCH($A77,'Component Catalogue'!$C$5:$C$150,0)),0)</f>
        <v/>
      </c>
      <c r="H77" s="13">
        <f>B77*E77+C77*F77+D77*G77</f>
        <v/>
      </c>
    </row>
    <row r="78">
      <c r="A78" s="23" t="inlineStr">
        <is>
          <t>Total - backend APIs</t>
        </is>
      </c>
      <c r="B78" s="24">
        <f>SUM(B68:B77)</f>
        <v/>
      </c>
      <c r="C78" s="24">
        <f>SUM(C68:C77)</f>
        <v/>
      </c>
      <c r="D78" s="24">
        <f>SUM(D68:D77)</f>
        <v/>
      </c>
      <c r="E78" s="25" t="n"/>
      <c r="F78" s="25" t="n"/>
      <c r="G78" s="25" t="n"/>
      <c r="H78" s="26">
        <f>SUM(H68:H77)</f>
        <v/>
      </c>
    </row>
  </sheetData>
  <mergeCells count="27">
    <mergeCell ref="F36:H36"/>
    <mergeCell ref="A15:H15"/>
    <mergeCell ref="F42:H42"/>
    <mergeCell ref="D10:H10"/>
    <mergeCell ref="F45:H45"/>
    <mergeCell ref="F41:H41"/>
    <mergeCell ref="F35:H35"/>
    <mergeCell ref="F38:H38"/>
    <mergeCell ref="D11:H11"/>
    <mergeCell ref="D13:H13"/>
    <mergeCell ref="F43:H43"/>
    <mergeCell ref="A66:H66"/>
    <mergeCell ref="F39:H39"/>
    <mergeCell ref="F37:H37"/>
    <mergeCell ref="B33:D33"/>
    <mergeCell ref="D7:H7"/>
    <mergeCell ref="B4:D4"/>
    <mergeCell ref="A47:H47"/>
    <mergeCell ref="F44:H44"/>
    <mergeCell ref="A32:H32"/>
    <mergeCell ref="D9:H9"/>
    <mergeCell ref="A17:H17"/>
    <mergeCell ref="D12:H12"/>
    <mergeCell ref="D8:H8"/>
    <mergeCell ref="F40:H40"/>
    <mergeCell ref="D14:H14"/>
    <mergeCell ref="B34:H34"/>
  </mergeCells>
  <dataValidations count="5">
    <dataValidation sqref="B19 B20 B21 B22 B23 B24 B25 B26 B27 B28 B29 B68 B69 B70 B71 B72 B73 B74 B75 B76 B77 C19 C20 C21 C22 C23 C24 C25 C26 C27 C28 C29 C49 C50 C51 C52 C53 C54 C55 C56 C57 C58 C59 C60 C61 C62 C63 C68 C69 C70 C71 C72 C73 C74 C75 C76 C77 D19 D20 D21 D22 D23 D24 D25 D26 D27 D28 D29 D68 D69 D70 D71 D72 D73 D74 D75 D76 D77" showDropDown="0" showInputMessage="0" showErrorMessage="1" allowBlank="1" errorTitle="Invalid" error="Enter a whole number 0 or higher." type="whole" operator="greaterThanOrEqual">
      <formula1>0</formula1>
    </dataValidation>
    <dataValidation sqref="B33" showDropDown="0" showInputMessage="0" showErrorMessage="0" allowBlank="0" type="list">
      <formula1>='Page Templates'!$A$5:$A$15</formula1>
    </dataValidation>
    <dataValidation sqref="F33" showDropDown="0" showInputMessage="0" showErrorMessage="0" allowBlank="0" type="list">
      <formula1>"Simple,Medium,Complex"</formula1>
    </dataValidation>
    <dataValidation sqref="A49 A50 A51 A52 A53 A54 A55 A56 A57 A58 A59 A60 A61 A62 A63" showDropDown="0" showInputMessage="0" showErrorMessage="0" allowBlank="1" type="list">
      <formula1>=ComponentList</formula1>
    </dataValidation>
    <dataValidation sqref="B49 B50 B51 B52 B53 B54 B55 B56 B57 B58 B59 B60 B61 B62 B63" showDropDown="0" showInputMessage="0" showErrorMessage="0" allowBlank="1" type="list">
      <formula1>"Simple,Medium,Complex"</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C00000"/>
    <outlinePr summaryBelow="1" summaryRight="1"/>
    <pageSetUpPr fitToPage="1"/>
  </sheetPr>
  <dimension ref="A1:AC37"/>
  <sheetViews>
    <sheetView showGridLines="0" workbookViewId="0">
      <pane ySplit="3" topLeftCell="A4" activePane="bottomLeft" state="frozen"/>
      <selection pane="bottomLeft" activeCell="A1" sqref="A1"/>
    </sheetView>
  </sheetViews>
  <sheetFormatPr baseColWidth="8" defaultRowHeight="15"/>
  <cols>
    <col width="36" customWidth="1" min="1" max="1"/>
    <col width="20" customWidth="1" min="2" max="2"/>
    <col width="20" customWidth="1" min="3" max="3"/>
    <col width="22" customWidth="1" min="4" max="4"/>
    <col width="3" customWidth="1" min="5" max="5"/>
    <col hidden="1" width="6" customWidth="1" min="6" max="6"/>
    <col hidden="1" width="13" customWidth="1" min="27" max="27"/>
    <col hidden="1" width="13" customWidth="1" min="28" max="28"/>
    <col hidden="1" width="13" customWidth="1" min="29" max="29"/>
  </cols>
  <sheetData>
    <row r="1">
      <c r="A1" s="1" t="inlineStr">
        <is>
          <t>Summary &amp; Scenarios</t>
        </is>
      </c>
    </row>
    <row r="2">
      <c r="A2" s="2" t="inlineStr">
        <is>
          <t>One-page view for sales and clients. Everything here is calculated from the Estimator - no inputs except the yellow what-if cells.</t>
        </is>
      </c>
    </row>
    <row r="4">
      <c r="A4" s="4" t="inlineStr">
        <is>
          <t>Project / RFP</t>
        </is>
      </c>
      <c r="B4" s="5">
        <f>Estimator!B4</f>
        <v/>
      </c>
    </row>
    <row r="5">
      <c r="AA5" s="31">
        <f>Estimator!$A$19</f>
        <v/>
      </c>
      <c r="AB5" s="31">
        <f>Estimator!$H$19</f>
        <v/>
      </c>
      <c r="AC5" s="31">
        <f>AB5+(1000-ROW())/1000000</f>
        <v/>
      </c>
    </row>
    <row r="6">
      <c r="A6" s="12" t="inlineStr">
        <is>
          <t>Headline</t>
        </is>
      </c>
      <c r="B6" s="12" t="inlineStr">
        <is>
          <t>Without AI</t>
        </is>
      </c>
      <c r="C6" s="12" t="inlineStr">
        <is>
          <t>With AI</t>
        </is>
      </c>
      <c r="D6" s="12" t="inlineStr">
        <is>
          <t>Notes</t>
        </is>
      </c>
      <c r="AA6" s="31">
        <f>Estimator!$A$20</f>
        <v/>
      </c>
      <c r="AB6" s="31">
        <f>Estimator!$H$20</f>
        <v/>
      </c>
      <c r="AC6" s="31">
        <f>AB6+(1000-ROW())/1000000</f>
        <v/>
      </c>
    </row>
    <row r="7">
      <c r="A7" s="4" t="inlineStr">
        <is>
          <t>Total effort (hours)</t>
        </is>
      </c>
      <c r="B7" s="17">
        <f>Estimator!B12</f>
        <v/>
      </c>
      <c r="C7" s="17">
        <f>Estimator!C12</f>
        <v/>
      </c>
      <c r="D7" s="14" t="inlineStr">
        <is>
          <t>Developer build + unit testing</t>
        </is>
      </c>
      <c r="AA7" s="31">
        <f>Estimator!$A$21</f>
        <v/>
      </c>
      <c r="AB7" s="31">
        <f>Estimator!$H$21</f>
        <v/>
      </c>
      <c r="AC7" s="31">
        <f>AB7+(1000-ROW())/1000000</f>
        <v/>
      </c>
    </row>
    <row r="8">
      <c r="A8" s="4" t="inlineStr">
        <is>
          <t>Person-days</t>
        </is>
      </c>
      <c r="B8" s="32">
        <f>Estimator!B13</f>
        <v/>
      </c>
      <c r="C8" s="32">
        <f>Estimator!C13</f>
        <v/>
      </c>
      <c r="D8" s="14" t="n"/>
      <c r="AA8" s="31">
        <f>Estimator!$A$22</f>
        <v/>
      </c>
      <c r="AB8" s="31">
        <f>Estimator!$H$22</f>
        <v/>
      </c>
      <c r="AC8" s="31">
        <f>AB8+(1000-ROW())/1000000</f>
        <v/>
      </c>
    </row>
    <row r="9">
      <c r="A9" s="4" t="inlineStr">
        <is>
          <t>Indicative duration (weeks)</t>
        </is>
      </c>
      <c r="B9" s="32">
        <f>Estimator!B14</f>
        <v/>
      </c>
      <c r="C9" s="32">
        <f>Estimator!C14</f>
        <v/>
      </c>
      <c r="D9" s="14">
        <f>"At a team of "&amp;Estimator!B5</f>
        <v/>
      </c>
      <c r="AA9" s="31">
        <f>Estimator!$A$23</f>
        <v/>
      </c>
      <c r="AB9" s="31">
        <f>Estimator!$H$23</f>
        <v/>
      </c>
      <c r="AC9" s="31">
        <f>AB9+(1000-ROW())/1000000</f>
        <v/>
      </c>
    </row>
    <row r="10">
      <c r="AA10" s="31">
        <f>Estimator!$A$24</f>
        <v/>
      </c>
      <c r="AB10" s="31">
        <f>Estimator!$H$24</f>
        <v/>
      </c>
      <c r="AC10" s="31">
        <f>AB10+(1000-ROW())/1000000</f>
        <v/>
      </c>
    </row>
    <row r="11">
      <c r="A11" s="3" t="inlineStr">
        <is>
          <t>Where the hours go</t>
        </is>
      </c>
      <c r="AA11" s="31">
        <f>Estimator!$A$25</f>
        <v/>
      </c>
      <c r="AB11" s="31">
        <f>Estimator!$H$25</f>
        <v/>
      </c>
      <c r="AC11" s="31">
        <f>AB11+(1000-ROW())/1000000</f>
        <v/>
      </c>
    </row>
    <row r="12">
      <c r="A12" s="12" t="inlineStr">
        <is>
          <t>Area</t>
        </is>
      </c>
      <c r="B12" s="12" t="inlineStr">
        <is>
          <t>Hours (without AI)</t>
        </is>
      </c>
      <c r="C12" s="12" t="inlineStr">
        <is>
          <t>Hours (with AI)</t>
        </is>
      </c>
      <c r="D12" s="12" t="inlineStr">
        <is>
          <t>Share of total</t>
        </is>
      </c>
      <c r="AA12" s="31">
        <f>Estimator!$A$26</f>
        <v/>
      </c>
      <c r="AB12" s="31">
        <f>Estimator!$H$26</f>
        <v/>
      </c>
      <c r="AC12" s="31">
        <f>AB12+(1000-ROW())/1000000</f>
        <v/>
      </c>
    </row>
    <row r="13">
      <c r="A13" s="4" t="inlineStr">
        <is>
          <t>UI pages</t>
        </is>
      </c>
      <c r="B13" s="13">
        <f>Estimator!B8</f>
        <v/>
      </c>
      <c r="C13" s="13">
        <f>Estimator!C8</f>
        <v/>
      </c>
      <c r="D13" s="33">
        <f>IFERROR(B13/B$17,0)</f>
        <v/>
      </c>
      <c r="AA13" s="31">
        <f>Estimator!$A$27</f>
        <v/>
      </c>
      <c r="AB13" s="31">
        <f>Estimator!$H$27</f>
        <v/>
      </c>
      <c r="AC13" s="31">
        <f>AB13+(1000-ROW())/1000000</f>
        <v/>
      </c>
    </row>
    <row r="14">
      <c r="A14" s="4" t="inlineStr">
        <is>
          <t>Additional shared components</t>
        </is>
      </c>
      <c r="B14" s="13">
        <f>Estimator!B9</f>
        <v/>
      </c>
      <c r="C14" s="13">
        <f>Estimator!C9</f>
        <v/>
      </c>
      <c r="D14" s="33">
        <f>IFERROR(B14/B$17,0)</f>
        <v/>
      </c>
      <c r="AA14" s="31">
        <f>Estimator!$A$28</f>
        <v/>
      </c>
      <c r="AB14" s="31">
        <f>Estimator!$H$28</f>
        <v/>
      </c>
      <c r="AC14" s="31">
        <f>AB14+(1000-ROW())/1000000</f>
        <v/>
      </c>
    </row>
    <row r="15">
      <c r="A15" s="4" t="inlineStr">
        <is>
          <t>Backend APIs</t>
        </is>
      </c>
      <c r="B15" s="13">
        <f>Estimator!B10</f>
        <v/>
      </c>
      <c r="C15" s="13">
        <f>Estimator!C10</f>
        <v/>
      </c>
      <c r="D15" s="33">
        <f>IFERROR(B15/B$17,0)</f>
        <v/>
      </c>
      <c r="AA15" s="31">
        <f>Estimator!$A$29</f>
        <v/>
      </c>
      <c r="AB15" s="31">
        <f>Estimator!$H$29</f>
        <v/>
      </c>
      <c r="AC15" s="31">
        <f>AB15+(1000-ROW())/1000000</f>
        <v/>
      </c>
    </row>
    <row r="16">
      <c r="A16" s="4" t="inlineStr">
        <is>
          <t>Technology factor adjustment</t>
        </is>
      </c>
      <c r="B16" s="13">
        <f>Estimator!B12-SUM(Estimator!B8:B10)</f>
        <v/>
      </c>
      <c r="C16" s="13">
        <f>Estimator!C12-SUM(Estimator!C8:C10)</f>
        <v/>
      </c>
      <c r="D16" s="33">
        <f>IFERROR(B16/B$17,0)</f>
        <v/>
      </c>
    </row>
    <row r="17">
      <c r="A17" s="23" t="inlineStr">
        <is>
          <t>Total</t>
        </is>
      </c>
      <c r="B17" s="26">
        <f>Estimator!B12</f>
        <v/>
      </c>
      <c r="C17" s="26">
        <f>Estimator!C12</f>
        <v/>
      </c>
      <c r="D17" s="25" t="n"/>
    </row>
    <row r="19">
      <c r="A19" s="3" t="inlineStr">
        <is>
          <t>Top 5 UI page drivers</t>
        </is>
      </c>
    </row>
    <row r="20">
      <c r="A20" s="12" t="inlineStr">
        <is>
          <t>Page type (ranked by hours)</t>
        </is>
      </c>
      <c r="B20" s="12" t="inlineStr">
        <is>
          <t>Hours (without AI)</t>
        </is>
      </c>
      <c r="C20" s="12" t="inlineStr">
        <is>
          <t>Share of UI hours</t>
        </is>
      </c>
      <c r="D20" s="12" t="inlineStr">
        <is>
          <t># Simple / Medium / Complex</t>
        </is>
      </c>
    </row>
    <row r="21">
      <c r="A21" s="4">
        <f>IF(F21="","",IF(INDEX($AB$5:$AB$15,F21)=0,"","1. "&amp;INDEX($AA$5:$AA$15,F21)))</f>
        <v/>
      </c>
      <c r="B21" s="13">
        <f>IF(A21="","",INDEX($AB$5:$AB$15,F21))</f>
        <v/>
      </c>
      <c r="C21" s="33">
        <f>IF(A21="","",IFERROR(B21/Estimator!$H$30,0))</f>
        <v/>
      </c>
      <c r="D21" s="28">
        <f>IF(A21="","",INDEX(Estimator!$B$19:$B$29,F21)&amp;" / "&amp;INDEX(Estimator!$C$19:$C$29,F21)&amp;" / "&amp;INDEX(Estimator!$D$19:$D$29,F21))</f>
        <v/>
      </c>
      <c r="F21" s="34">
        <f>IFERROR(MATCH(LARGE($AC$5:$AC$15,1),$AC$5:$AC$15,0),"")</f>
        <v/>
      </c>
    </row>
    <row r="22">
      <c r="A22" s="4">
        <f>IF(F22="","",IF(INDEX($AB$5:$AB$15,F22)=0,"","2. "&amp;INDEX($AA$5:$AA$15,F22)))</f>
        <v/>
      </c>
      <c r="B22" s="13">
        <f>IF(A22="","",INDEX($AB$5:$AB$15,F22))</f>
        <v/>
      </c>
      <c r="C22" s="33">
        <f>IF(A22="","",IFERROR(B22/Estimator!$H$30,0))</f>
        <v/>
      </c>
      <c r="D22" s="28">
        <f>IF(A22="","",INDEX(Estimator!$B$19:$B$29,F22)&amp;" / "&amp;INDEX(Estimator!$C$19:$C$29,F22)&amp;" / "&amp;INDEX(Estimator!$D$19:$D$29,F22))</f>
        <v/>
      </c>
      <c r="F22" s="34">
        <f>IFERROR(MATCH(LARGE($AC$5:$AC$15,2),$AC$5:$AC$15,0),"")</f>
        <v/>
      </c>
    </row>
    <row r="23">
      <c r="A23" s="4">
        <f>IF(F23="","",IF(INDEX($AB$5:$AB$15,F23)=0,"","3. "&amp;INDEX($AA$5:$AA$15,F23)))</f>
        <v/>
      </c>
      <c r="B23" s="13">
        <f>IF(A23="","",INDEX($AB$5:$AB$15,F23))</f>
        <v/>
      </c>
      <c r="C23" s="33">
        <f>IF(A23="","",IFERROR(B23/Estimator!$H$30,0))</f>
        <v/>
      </c>
      <c r="D23" s="28">
        <f>IF(A23="","",INDEX(Estimator!$B$19:$B$29,F23)&amp;" / "&amp;INDEX(Estimator!$C$19:$C$29,F23)&amp;" / "&amp;INDEX(Estimator!$D$19:$D$29,F23))</f>
        <v/>
      </c>
      <c r="F23" s="34">
        <f>IFERROR(MATCH(LARGE($AC$5:$AC$15,3),$AC$5:$AC$15,0),"")</f>
        <v/>
      </c>
    </row>
    <row r="24">
      <c r="A24" s="4">
        <f>IF(F24="","",IF(INDEX($AB$5:$AB$15,F24)=0,"","4. "&amp;INDEX($AA$5:$AA$15,F24)))</f>
        <v/>
      </c>
      <c r="B24" s="13">
        <f>IF(A24="","",INDEX($AB$5:$AB$15,F24))</f>
        <v/>
      </c>
      <c r="C24" s="33">
        <f>IF(A24="","",IFERROR(B24/Estimator!$H$30,0))</f>
        <v/>
      </c>
      <c r="D24" s="28">
        <f>IF(A24="","",INDEX(Estimator!$B$19:$B$29,F24)&amp;" / "&amp;INDEX(Estimator!$C$19:$C$29,F24)&amp;" / "&amp;INDEX(Estimator!$D$19:$D$29,F24))</f>
        <v/>
      </c>
      <c r="F24" s="34">
        <f>IFERROR(MATCH(LARGE($AC$5:$AC$15,4),$AC$5:$AC$15,0),"")</f>
        <v/>
      </c>
    </row>
    <row r="25">
      <c r="A25" s="4">
        <f>IF(F25="","",IF(INDEX($AB$5:$AB$15,F25)=0,"","5. "&amp;INDEX($AA$5:$AA$15,F25)))</f>
        <v/>
      </c>
      <c r="B25" s="13">
        <f>IF(A25="","",INDEX($AB$5:$AB$15,F25))</f>
        <v/>
      </c>
      <c r="C25" s="33">
        <f>IF(A25="","",IFERROR(B25/Estimator!$H$30,0))</f>
        <v/>
      </c>
      <c r="D25" s="28">
        <f>IF(A25="","",INDEX(Estimator!$B$19:$B$29,F25)&amp;" / "&amp;INDEX(Estimator!$C$19:$C$29,F25)&amp;" / "&amp;INDEX(Estimator!$D$19:$D$29,F25))</f>
        <v/>
      </c>
      <c r="F25" s="34">
        <f>IFERROR(MATCH(LARGE($AC$5:$AC$15,5),$AC$5:$AC$15,0),"")</f>
        <v/>
      </c>
    </row>
    <row r="27">
      <c r="A27" s="3" t="inlineStr">
        <is>
          <t>Scenario comparison (same scope, different assumptions)</t>
        </is>
      </c>
    </row>
    <row r="28">
      <c r="A28" s="12" t="inlineStr"/>
      <c r="B28" s="12" t="inlineStr">
        <is>
          <t>Baseline</t>
        </is>
      </c>
      <c r="C28" s="12" t="inlineStr">
        <is>
          <t>Current settings</t>
        </is>
      </c>
      <c r="D28" s="12" t="inlineStr">
        <is>
          <t>What-if (edit)</t>
        </is>
      </c>
    </row>
    <row r="29">
      <c r="A29" s="4" t="inlineStr">
        <is>
          <t>Meaning</t>
        </is>
      </c>
      <c r="B29" s="14" t="inlineStr">
        <is>
          <t>No AI, baseline stack</t>
        </is>
      </c>
      <c r="C29" s="14" t="inlineStr">
        <is>
          <t>Values on the Assumptions sheet</t>
        </is>
      </c>
      <c r="D29" s="14" t="inlineStr">
        <is>
          <t>Your own values</t>
        </is>
      </c>
    </row>
    <row r="30">
      <c r="A30" s="4" t="inlineStr">
        <is>
          <t>Technology factor</t>
        </is>
      </c>
      <c r="B30" s="15" t="n">
        <v>1</v>
      </c>
      <c r="C30" s="15">
        <f>Assumptions!$B$6</f>
        <v/>
      </c>
      <c r="D30" s="35" t="n">
        <v>1.25</v>
      </c>
    </row>
    <row r="31">
      <c r="A31" s="4" t="inlineStr">
        <is>
          <t>AI-assist reduction</t>
        </is>
      </c>
      <c r="B31" s="33" t="n">
        <v>0</v>
      </c>
      <c r="C31" s="33">
        <f>Assumptions!$B$5</f>
        <v/>
      </c>
      <c r="D31" s="36" t="n">
        <v>0.3</v>
      </c>
    </row>
    <row r="32">
      <c r="A32" s="37" t="inlineStr">
        <is>
          <t>Total hours</t>
        </is>
      </c>
      <c r="B32" s="17">
        <f>SUM(Estimator!$B$8:$B$10)*B30*(1-B31)</f>
        <v/>
      </c>
      <c r="C32" s="17">
        <f>SUM(Estimator!$B$8:$B$10)*C30*(1-C31)</f>
        <v/>
      </c>
      <c r="D32" s="17">
        <f>SUM(Estimator!$B$8:$B$10)*D30*(1-D31)</f>
        <v/>
      </c>
    </row>
    <row r="33">
      <c r="A33" s="4" t="inlineStr">
        <is>
          <t>Person-days</t>
        </is>
      </c>
      <c r="B33" s="13">
        <f>B32/Assumptions!$B$7</f>
        <v/>
      </c>
      <c r="C33" s="13">
        <f>C32/Assumptions!$B$7</f>
        <v/>
      </c>
      <c r="D33" s="13">
        <f>D32/Assumptions!$B$7</f>
        <v/>
      </c>
    </row>
    <row r="34">
      <c r="A34" s="4" t="inlineStr">
        <is>
          <t>Indicative weeks</t>
        </is>
      </c>
      <c r="B34" s="13">
        <f>IFERROR(B32/(Estimator!$B$5*Assumptions!$B$8),0)</f>
        <v/>
      </c>
      <c r="C34" s="13">
        <f>IFERROR(C32/(Estimator!$B$5*Assumptions!$B$8),0)</f>
        <v/>
      </c>
      <c r="D34" s="13">
        <f>IFERROR(D32/(Estimator!$B$5*Assumptions!$B$8),0)</f>
        <v/>
      </c>
    </row>
    <row r="35">
      <c r="A35" s="4" t="inlineStr">
        <is>
          <t>Difference vs baseline</t>
        </is>
      </c>
      <c r="B35" s="38">
        <f>IFERROR(B32/$B$32-1,0)</f>
        <v/>
      </c>
      <c r="C35" s="38">
        <f>IFERROR(C32/$B$32-1,0)</f>
        <v/>
      </c>
      <c r="D35" s="38">
        <f>IFERROR(D32/$B$32-1,0)</f>
        <v/>
      </c>
    </row>
    <row r="37" ht="28" customHeight="1">
      <c r="A37" s="18" t="inlineStr">
        <is>
          <t>Scenarios use the same scope as the Estimator. Total = (pages + shared components + APIs) x technology factor x (1 - AI reduction).</t>
        </is>
      </c>
    </row>
  </sheetData>
  <mergeCells count="5">
    <mergeCell ref="A37:D37"/>
    <mergeCell ref="A27:D27"/>
    <mergeCell ref="B4:D4"/>
    <mergeCell ref="A19:D19"/>
    <mergeCell ref="A11:D11"/>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548235"/>
    <outlinePr summaryBelow="1" summaryRight="1"/>
    <pageSetUpPr fitToPage="1"/>
  </sheetPr>
  <dimension ref="A1:D24"/>
  <sheetViews>
    <sheetView showGridLines="0" workbookViewId="0">
      <pane ySplit="3" topLeftCell="A4" activePane="bottomLeft" state="frozen"/>
      <selection pane="bottomLeft" activeCell="A1" sqref="A1"/>
    </sheetView>
  </sheetViews>
  <sheetFormatPr baseColWidth="8" defaultRowHeight="15"/>
  <cols>
    <col width="26" customWidth="1" min="1" max="1"/>
    <col width="74" customWidth="1" min="2" max="2"/>
    <col width="14" customWidth="1" min="3" max="3"/>
    <col width="8" customWidth="1" min="4" max="4"/>
  </cols>
  <sheetData>
    <row r="1">
      <c r="A1" s="1" t="inlineStr">
        <is>
          <t>Complexity Advisor - which level is it?</t>
        </is>
      </c>
    </row>
    <row r="2">
      <c r="A2" s="2" t="inlineStr">
        <is>
          <t>For each dimension pick the statement that best describes the item. The result follows the rubric rules: highest trigger wins, default to Medium.</t>
        </is>
      </c>
    </row>
    <row r="4">
      <c r="A4" s="4" t="inlineStr">
        <is>
          <t>Item being assessed</t>
        </is>
      </c>
      <c r="B4" s="7" t="inlineStr">
        <is>
          <t>Sales performance dashboard</t>
        </is>
      </c>
    </row>
    <row r="5">
      <c r="A5" s="4" t="inlineStr">
        <is>
          <t>Page type (to show hours)</t>
        </is>
      </c>
      <c r="B5" s="7" t="inlineStr">
        <is>
          <t>Dashboard / analytics page</t>
        </is>
      </c>
    </row>
    <row r="7">
      <c r="A7" s="3" t="inlineStr">
        <is>
          <t>Step 1 - for each dimension pick the statement that fits best (leave blank if it does not apply)</t>
        </is>
      </c>
    </row>
    <row r="8">
      <c r="A8" s="12" t="inlineStr">
        <is>
          <t>Dimension</t>
        </is>
      </c>
      <c r="B8" s="12" t="inlineStr">
        <is>
          <t>Pick the statement that fits</t>
        </is>
      </c>
      <c r="C8" s="12" t="inlineStr">
        <is>
          <t>Level</t>
        </is>
      </c>
      <c r="D8" s="12" t="inlineStr">
        <is>
          <t>Score</t>
        </is>
      </c>
    </row>
    <row r="9" ht="30" customHeight="1">
      <c r="A9" s="4" t="inlineStr">
        <is>
          <t>Data source</t>
        </is>
      </c>
      <c r="B9" s="7" t="inlineStr">
        <is>
          <t>Live data (polling, websocket) or chained / dependent API calls</t>
        </is>
      </c>
      <c r="C9" s="27">
        <f>IF(B9="","",IFERROR(CHOOSE(MATCH(B9,'Complexity Rubric'!$B$5:$D$5,0),"Simple","Medium","Complex"),"Pick from list"))</f>
        <v/>
      </c>
      <c r="D9" s="39">
        <f>IF(B9="","",IFERROR(MATCH(B9,'Complexity Rubric'!$B$5:$D$5,0),""))</f>
        <v/>
      </c>
    </row>
    <row r="10" ht="30" customHeight="1">
      <c r="A10" s="4" t="inlineStr">
        <is>
          <t>Interaction</t>
        </is>
      </c>
      <c r="B10" s="7" t="inlineStr">
        <is>
          <t>Sort, filter, select, open modals, submit forms</t>
        </is>
      </c>
      <c r="C10" s="27">
        <f>IF(B10="","",IFERROR(CHOOSE(MATCH(B10,'Complexity Rubric'!$B$6:$D$6,0),"Simple","Medium","Complex"),"Pick from list"))</f>
        <v/>
      </c>
      <c r="D10" s="39">
        <f>IF(B10="","",IFERROR(MATCH(B10,'Complexity Rubric'!$B$6:$D$6,0),""))</f>
        <v/>
      </c>
    </row>
    <row r="11" ht="30" customHeight="1">
      <c r="A11" s="4" t="inlineStr">
        <is>
          <t>States &amp; validation</t>
        </is>
      </c>
      <c r="B11" s="7" t="inlineStr">
        <is>
          <t>Field validation, success and error states, server-error mapping</t>
        </is>
      </c>
      <c r="C11" s="27">
        <f>IF(B11="","",IFERROR(CHOOSE(MATCH(B11,'Complexity Rubric'!$B$7:$D$7,0),"Simple","Medium","Complex"),"Pick from list"))</f>
        <v/>
      </c>
      <c r="D11" s="39">
        <f>IF(B11="","",IFERROR(MATCH(B11,'Complexity Rubric'!$B$7:$D$7,0),""))</f>
        <v/>
      </c>
    </row>
    <row r="12" ht="30" customHeight="1">
      <c r="A12" s="4" t="inlineStr">
        <is>
          <t>Component reuse</t>
        </is>
      </c>
      <c r="B12" s="7" t="inlineStr">
        <is>
          <t>Library component with moderate customisation</t>
        </is>
      </c>
      <c r="C12" s="27">
        <f>IF(B12="","",IFERROR(CHOOSE(MATCH(B12,'Complexity Rubric'!$B$8:$D$8,0),"Simple","Medium","Complex"),"Pick from list"))</f>
        <v/>
      </c>
      <c r="D12" s="39">
        <f>IF(B12="","",IFERROR(MATCH(B12,'Complexity Rubric'!$B$8:$D$8,0),""))</f>
        <v/>
      </c>
    </row>
    <row r="13" ht="30" customHeight="1">
      <c r="A13" s="4" t="inlineStr">
        <is>
          <t>Layout &amp; responsiveness</t>
        </is>
      </c>
      <c r="B13" s="7" t="inlineStr">
        <is>
          <t>Adapts to tablet and mobile widths</t>
        </is>
      </c>
      <c r="C13" s="27">
        <f>IF(B13="","",IFERROR(CHOOSE(MATCH(B13,'Complexity Rubric'!$B$9:$D$9,0),"Simple","Medium","Complex"),"Pick from list"))</f>
        <v/>
      </c>
      <c r="D13" s="39">
        <f>IF(B13="","",IFERROR(MATCH(B13,'Complexity Rubric'!$B$9:$D$9,0),""))</f>
        <v/>
      </c>
    </row>
    <row r="14" ht="30" customHeight="1">
      <c r="A14" s="4" t="inlineStr">
        <is>
          <t>Permissions</t>
        </is>
      </c>
      <c r="B14" s="7" t="inlineStr">
        <is>
          <t>Show or hide elements by role</t>
        </is>
      </c>
      <c r="C14" s="27">
        <f>IF(B14="","",IFERROR(CHOOSE(MATCH(B14,'Complexity Rubric'!$B$10:$D$10,0),"Simple","Medium","Complex"),"Pick from list"))</f>
        <v/>
      </c>
      <c r="D14" s="39">
        <f>IF(B14="","",IFERROR(MATCH(B14,'Complexity Rubric'!$B$10:$D$10,0),""))</f>
        <v/>
      </c>
    </row>
    <row r="15" ht="30" customHeight="1">
      <c r="A15" s="4" t="inlineStr">
        <is>
          <t>Volume of data</t>
        </is>
      </c>
      <c r="B15" s="7" t="inlineStr">
        <is>
          <t>Hundreds of rows, paginated</t>
        </is>
      </c>
      <c r="C15" s="27">
        <f>IF(B15="","",IFERROR(CHOOSE(MATCH(B15,'Complexity Rubric'!$B$11:$D$11,0),"Simple","Medium","Complex"),"Pick from list"))</f>
        <v/>
      </c>
      <c r="D15" s="39">
        <f>IF(B15="","",IFERROR(MATCH(B15,'Complexity Rubric'!$B$11:$D$11,0),""))</f>
        <v/>
      </c>
    </row>
    <row r="17">
      <c r="A17" s="3" t="inlineStr">
        <is>
          <t>Step 2 - result</t>
        </is>
      </c>
    </row>
    <row r="18">
      <c r="A18" s="4" t="inlineStr">
        <is>
          <t>Dimensions answered</t>
        </is>
      </c>
      <c r="B18" s="5">
        <f>COUNT($D$9:$D$15)&amp;" of 7"</f>
        <v/>
      </c>
    </row>
    <row r="19">
      <c r="A19" s="4" t="inlineStr">
        <is>
          <t>Recommended level</t>
        </is>
      </c>
      <c r="B19" s="40">
        <f>CHOOSE(D19,"Simple","Medium","Complex")</f>
        <v/>
      </c>
      <c r="C19" s="5" t="n"/>
      <c r="D19" s="39">
        <f>IF(COUNT($D$9:$D$15)=0,2,IF(AND(MAX($D$9:$D$15)=1,COUNT($D$9:$D$15)&lt;7),2,MAX($D$9:$D$15)))</f>
        <v/>
      </c>
    </row>
    <row r="20" ht="32" customHeight="1">
      <c r="A20" s="4" t="inlineStr">
        <is>
          <t>Why</t>
        </is>
      </c>
      <c r="B20" s="5">
        <f>IF(COUNT($D$9:$D$15)=0,"Nothing selected - default to Medium (Rule 2).",IF(AND(MAX($D$9:$D$15)=1,COUNT($D$9:$D$15)&lt;7),"Only Simple answers so far and some dimensions are unanswered - default to Medium (Rule 2).","Driven by "&amp;INDEX($A$9:$A$15,MATCH(MAX($D$9:$D$15),$D$9:$D$15,0))&amp;": "&amp;INDEX($B$9:$B$15,MATCH(MAX($D$9:$D$15),$D$9:$D$15,0))&amp;" (highest trigger wins, Rule 1)."))</f>
        <v/>
      </c>
    </row>
    <row r="21">
      <c r="A21" s="4" t="inlineStr">
        <is>
          <t>Hours for ONE such page (without AI)</t>
        </is>
      </c>
      <c r="B21" s="41">
        <f>IFERROR(INDEX('Page Templates'!$G$5:$I$15,MATCH($B$5,'Page Templates'!$A$5:$A$15,0),$D$19),"Choose a page type above")</f>
        <v/>
      </c>
    </row>
    <row r="22">
      <c r="A22" s="4" t="inlineStr">
        <is>
          <t>What to enter on the Estimator</t>
        </is>
      </c>
      <c r="B22" s="5">
        <f>IF($B$5="","Enter 1 at level "&amp;B19&amp;" for the item.","Section A: add 1 to the # "&amp;B19&amp;" column for "&amp;$B$5&amp;".")</f>
        <v/>
      </c>
    </row>
    <row r="24" ht="30" customHeight="1">
      <c r="A24" s="18" t="inlineStr">
        <is>
          <t>The Advisor does not change the Estimator by itself. It tells you which level to use, so two estimators reading the same requirement reach the same answer.</t>
        </is>
      </c>
    </row>
  </sheetData>
  <mergeCells count="3">
    <mergeCell ref="A7:D7"/>
    <mergeCell ref="A24:D24"/>
    <mergeCell ref="A17:D17"/>
  </mergeCells>
  <conditionalFormatting sqref="C9:C15">
    <cfRule type="expression" priority="1" dxfId="0">
      <formula>$C9="Simple"</formula>
    </cfRule>
    <cfRule type="expression" priority="3" dxfId="1">
      <formula>$C9="Medium"</formula>
    </cfRule>
    <cfRule type="expression" priority="5" dxfId="2">
      <formula>$C9="Complex"</formula>
    </cfRule>
  </conditionalFormatting>
  <conditionalFormatting sqref="B19">
    <cfRule type="expression" priority="2" dxfId="0">
      <formula>$B$19="Simple"</formula>
    </cfRule>
    <cfRule type="expression" priority="4" dxfId="1">
      <formula>$B$19="Medium"</formula>
    </cfRule>
    <cfRule type="expression" priority="6" dxfId="2">
      <formula>$B$19="Complex"</formula>
    </cfRule>
  </conditionalFormatting>
  <dataValidations count="8">
    <dataValidation sqref="B5" showDropDown="0" showInputMessage="0" showErrorMessage="0" allowBlank="1" type="list">
      <formula1>='Page Templates'!$A$5:$A$15</formula1>
    </dataValidation>
    <dataValidation sqref="B9" showDropDown="0" showInputMessage="0" showErrorMessage="0" allowBlank="1" type="list">
      <formula1>='Complexity Rubric'!$B$5:$D$5</formula1>
    </dataValidation>
    <dataValidation sqref="B10" showDropDown="0" showInputMessage="0" showErrorMessage="0" allowBlank="1" type="list">
      <formula1>='Complexity Rubric'!$B$6:$D$6</formula1>
    </dataValidation>
    <dataValidation sqref="B11" showDropDown="0" showInputMessage="0" showErrorMessage="0" allowBlank="1" type="list">
      <formula1>='Complexity Rubric'!$B$7:$D$7</formula1>
    </dataValidation>
    <dataValidation sqref="B12" showDropDown="0" showInputMessage="0" showErrorMessage="0" allowBlank="1" type="list">
      <formula1>='Complexity Rubric'!$B$8:$D$8</formula1>
    </dataValidation>
    <dataValidation sqref="B13" showDropDown="0" showInputMessage="0" showErrorMessage="0" allowBlank="1" type="list">
      <formula1>='Complexity Rubric'!$B$9:$D$9</formula1>
    </dataValidation>
    <dataValidation sqref="B14" showDropDown="0" showInputMessage="0" showErrorMessage="0" allowBlank="1" type="list">
      <formula1>='Complexity Rubric'!$B$10:$D$10</formula1>
    </dataValidation>
    <dataValidation sqref="B15" showDropDown="0" showInputMessage="0" showErrorMessage="0" allowBlank="1" type="list">
      <formula1>='Complexity Rubric'!$B$11:$D$11</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1F3864"/>
    <outlinePr summaryBelow="1" summaryRight="1"/>
    <pageSetUpPr fitToPage="1"/>
  </sheetPr>
  <dimension ref="A1:D18"/>
  <sheetViews>
    <sheetView showGridLines="0" workbookViewId="0">
      <selection activeCell="A1" sqref="A1"/>
    </sheetView>
  </sheetViews>
  <sheetFormatPr baseColWidth="8" defaultRowHeight="15"/>
  <cols>
    <col width="26" customWidth="1" min="1" max="1"/>
    <col width="38" customWidth="1" min="2" max="2"/>
    <col width="42" customWidth="1" min="3" max="3"/>
    <col width="46" customWidth="1" min="4" max="4"/>
  </cols>
  <sheetData>
    <row r="1">
      <c r="A1" s="1" t="inlineStr">
        <is>
          <t>Complexity Rubric - what Simple, Medium and Complex mean</t>
        </is>
      </c>
    </row>
    <row r="2">
      <c r="A2" s="2" t="inlineStr">
        <is>
          <t>Generic rules for classifying any component. Component-specific definitions are in the Component Catalogue.</t>
        </is>
      </c>
    </row>
    <row r="4">
      <c r="A4" s="12" t="inlineStr">
        <is>
          <t>Dimension</t>
        </is>
      </c>
      <c r="B4" s="19" t="inlineStr">
        <is>
          <t>SIMPLE</t>
        </is>
      </c>
      <c r="C4" s="20" t="inlineStr">
        <is>
          <t>MEDIUM</t>
        </is>
      </c>
      <c r="D4" s="21" t="inlineStr">
        <is>
          <t>COMPLEX</t>
        </is>
      </c>
    </row>
    <row r="5">
      <c r="A5" s="4" t="inlineStr">
        <is>
          <t>Data source</t>
        </is>
      </c>
      <c r="B5" s="5" t="inlineStr">
        <is>
          <t>Static / hard-coded data, or a single API call on page load</t>
        </is>
      </c>
      <c r="C5" s="5" t="inlineStr">
        <is>
          <t>Several API calls, or one call with server-side paging, sorting or filtering</t>
        </is>
      </c>
      <c r="D5" s="5" t="inlineStr">
        <is>
          <t>Live data (polling, websocket) or chained / dependent API calls</t>
        </is>
      </c>
    </row>
    <row r="6">
      <c r="A6" s="4" t="inlineStr">
        <is>
          <t>Interaction</t>
        </is>
      </c>
      <c r="B6" s="5" t="inlineStr">
        <is>
          <t>Display only; basic click or navigation</t>
        </is>
      </c>
      <c r="C6" s="5" t="inlineStr">
        <is>
          <t>Sort, filter, select, open modals, submit forms</t>
        </is>
      </c>
      <c r="D6" s="5" t="inlineStr">
        <is>
          <t>Drag-and-drop, inline editing, real-time updates, keyboard shortcuts</t>
        </is>
      </c>
    </row>
    <row r="7">
      <c r="A7" s="4" t="inlineStr">
        <is>
          <t>States &amp; validation</t>
        </is>
      </c>
      <c r="B7" s="5" t="inlineStr">
        <is>
          <t>Default, loading and empty states</t>
        </is>
      </c>
      <c r="C7" s="5" t="inlineStr">
        <is>
          <t>Field validation, success and error states, server-error mapping</t>
        </is>
      </c>
      <c r="D7" s="5" t="inlineStr">
        <is>
          <t>Conditional or dependent fields, autosave, optimistic updates, partial failures</t>
        </is>
      </c>
    </row>
    <row r="8">
      <c r="A8" s="4" t="inlineStr">
        <is>
          <t>Component reuse</t>
        </is>
      </c>
      <c r="B8" s="5" t="inlineStr">
        <is>
          <t>Used as-is from the component library</t>
        </is>
      </c>
      <c r="C8" s="5" t="inlineStr">
        <is>
          <t>Library component with moderate customisation</t>
        </is>
      </c>
      <c r="D8" s="5" t="inlineStr">
        <is>
          <t>Substantial custom component or custom rendering</t>
        </is>
      </c>
    </row>
    <row r="9">
      <c r="A9" s="4" t="inlineStr">
        <is>
          <t>Layout &amp; responsiveness</t>
        </is>
      </c>
      <c r="B9" s="5" t="inlineStr">
        <is>
          <t>Single fixed layout</t>
        </is>
      </c>
      <c r="C9" s="5" t="inlineStr">
        <is>
          <t>Adapts to tablet and mobile widths</t>
        </is>
      </c>
      <c r="D9" s="5" t="inlineStr">
        <is>
          <t>Dense multi-panel layout with reflow and sticky regions</t>
        </is>
      </c>
    </row>
    <row r="10">
      <c r="A10" s="4" t="inlineStr">
        <is>
          <t>Permissions</t>
        </is>
      </c>
      <c r="B10" s="5" t="inlineStr">
        <is>
          <t>None</t>
        </is>
      </c>
      <c r="C10" s="5" t="inlineStr">
        <is>
          <t>Show or hide elements by role</t>
        </is>
      </c>
      <c r="D10" s="5" t="inlineStr">
        <is>
          <t>Field-level or dynamic permissions</t>
        </is>
      </c>
    </row>
    <row r="11">
      <c r="A11" s="4" t="inlineStr">
        <is>
          <t>Volume of data</t>
        </is>
      </c>
      <c r="B11" s="5" t="inlineStr">
        <is>
          <t>Handful of rows or items</t>
        </is>
      </c>
      <c r="C11" s="5" t="inlineStr">
        <is>
          <t>Hundreds of rows, paginated</t>
        </is>
      </c>
      <c r="D11" s="5" t="inlineStr">
        <is>
          <t>Thousands of rows or very large payloads (virtualisation)</t>
        </is>
      </c>
    </row>
    <row r="13">
      <c r="A13" s="3" t="inlineStr">
        <is>
          <t>How to choose a level</t>
        </is>
      </c>
    </row>
    <row r="14" ht="32" customHeight="1">
      <c r="A14" s="4" t="inlineStr">
        <is>
          <t>Rule 1 - highest trigger wins</t>
        </is>
      </c>
      <c r="B14" s="5" t="inlineStr">
        <is>
          <t>Pick the highest level for which ANY one trigger in the table applies. A component that needs live data is Complex even if everything else is simple.</t>
        </is>
      </c>
      <c r="C14" s="8" t="n"/>
      <c r="D14" s="9" t="n"/>
    </row>
    <row r="15" ht="32" customHeight="1">
      <c r="A15" s="4" t="inlineStr">
        <is>
          <t>Rule 2 - when unsure</t>
        </is>
      </c>
      <c r="B15" s="5" t="inlineStr">
        <is>
          <t>Use Medium as the default. Use Complex for analytics-heavy or real-time screens.</t>
        </is>
      </c>
      <c r="C15" s="8" t="n"/>
      <c r="D15" s="9" t="n"/>
    </row>
    <row r="16" ht="32" customHeight="1">
      <c r="A16" s="4" t="inlineStr">
        <is>
          <t>Rule 3 - use component definitions</t>
        </is>
      </c>
      <c r="B16" s="5" t="inlineStr">
        <is>
          <t>The Component Catalogue gives a concrete Simple / Medium / Complex description for every component. Where it exists, it overrides this generic rubric.</t>
        </is>
      </c>
      <c r="C16" s="8" t="n"/>
      <c r="D16" s="9" t="n"/>
    </row>
    <row r="17" ht="32" customHeight="1">
      <c r="A17" s="4" t="inlineStr">
        <is>
          <t>Rule 4 - hours scale</t>
        </is>
      </c>
      <c r="B17" s="5" t="inlineStr">
        <is>
          <t>Hours are for one component, build plus unit test. As a calibration check, Medium is typically about 2x Simple and Complex about 2x Medium.</t>
        </is>
      </c>
      <c r="C17" s="8" t="n"/>
      <c r="D17" s="9" t="n"/>
    </row>
    <row r="18" ht="32" customHeight="1">
      <c r="A18" s="4" t="inlineStr">
        <is>
          <t>Example - data table</t>
        </is>
      </c>
      <c r="B18" s="5" t="inlineStr">
        <is>
          <t>Simple: static columns loaded once from one API (4 h). Medium: server-side sort, filter and pagination (12 h). Complex: live updates, virtualisation, inline actions (24 h).</t>
        </is>
      </c>
      <c r="C18" s="8" t="n"/>
      <c r="D18" s="9" t="n"/>
    </row>
  </sheetData>
  <mergeCells count="6">
    <mergeCell ref="B14:D14"/>
    <mergeCell ref="B17:D17"/>
    <mergeCell ref="B18:D18"/>
    <mergeCell ref="A13:D13"/>
    <mergeCell ref="B15:D15"/>
    <mergeCell ref="B16:D16"/>
  </mergeCells>
  <pageMargins left="0.75" right="0.75" top="1" bottom="1" header="0.5" footer="0.5"/>
  <pageSetup orientation="landscape" fitToHeight="0" fitToWidth="1"/>
</worksheet>
</file>

<file path=xl/worksheets/sheet6.xml><?xml version="1.0" encoding="utf-8"?>
<worksheet xmlns="http://schemas.openxmlformats.org/spreadsheetml/2006/main">
  <sheetPr>
    <tabColor rgb="001F3864"/>
    <outlinePr summaryBelow="1" summaryRight="1"/>
    <pageSetUpPr fitToPage="1"/>
  </sheetPr>
  <dimension ref="A1:M6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36" customWidth="1" min="3" max="3"/>
    <col width="15" customWidth="1" min="4" max="4"/>
    <col width="38" customWidth="1" min="5" max="5"/>
    <col width="38" customWidth="1" min="6" max="6"/>
    <col width="38" customWidth="1" min="7" max="7"/>
    <col width="9" customWidth="1" min="8" max="8"/>
    <col width="9" customWidth="1" min="9" max="9"/>
    <col width="9" customWidth="1" min="10" max="10"/>
    <col width="9" customWidth="1" min="11" max="11"/>
    <col width="9" customWidth="1" min="12" max="12"/>
    <col width="9" customWidth="1" min="13" max="13"/>
  </cols>
  <sheetData>
    <row r="1">
      <c r="A1" s="1" t="inlineStr">
        <is>
          <t>Component Catalogue</t>
        </is>
      </c>
    </row>
    <row r="2">
      <c r="A2" s="2" t="inlineStr">
        <is>
          <t>Generic UI and back-end API components with complexity definitions and effort (developer build + unit test). Edit the blue hours; 'with AI' hours are calculated.</t>
        </is>
      </c>
    </row>
    <row r="3">
      <c r="H3" s="42" t="inlineStr">
        <is>
          <t>Hours WITHOUT AI</t>
        </is>
      </c>
      <c r="K3" s="42" t="inlineStr">
        <is>
          <t>Hours WITH AI (calculated)</t>
        </is>
      </c>
    </row>
    <row r="4">
      <c r="A4" s="12" t="inlineStr">
        <is>
          <t>Category</t>
        </is>
      </c>
      <c r="B4" s="12" t="inlineStr">
        <is>
          <t>Layer</t>
        </is>
      </c>
      <c r="C4" s="12" t="inlineStr">
        <is>
          <t>Component</t>
        </is>
      </c>
      <c r="D4" s="12" t="inlineStr">
        <is>
          <t>Unit</t>
        </is>
      </c>
      <c r="E4" s="12" t="inlineStr">
        <is>
          <t>Simple looks like</t>
        </is>
      </c>
      <c r="F4" s="12" t="inlineStr">
        <is>
          <t>Medium looks like</t>
        </is>
      </c>
      <c r="G4" s="12" t="inlineStr">
        <is>
          <t>Complex looks like</t>
        </is>
      </c>
      <c r="H4" s="19" t="inlineStr">
        <is>
          <t>Simple</t>
        </is>
      </c>
      <c r="I4" s="20" t="inlineStr">
        <is>
          <t>Medium</t>
        </is>
      </c>
      <c r="J4" s="21" t="inlineStr">
        <is>
          <t>Complex</t>
        </is>
      </c>
      <c r="K4" s="19" t="inlineStr">
        <is>
          <t>Simple</t>
        </is>
      </c>
      <c r="L4" s="20" t="inlineStr">
        <is>
          <t>Medium</t>
        </is>
      </c>
      <c r="M4" s="21" t="inlineStr">
        <is>
          <t>Complex</t>
        </is>
      </c>
    </row>
    <row r="5">
      <c r="A5" s="5" t="inlineStr">
        <is>
          <t>Foundation &amp; Layout</t>
        </is>
      </c>
      <c r="B5" s="28" t="inlineStr">
        <is>
          <t>UI</t>
        </is>
      </c>
      <c r="C5" s="4" t="inlineStr">
        <is>
          <t>App shell &amp; routing</t>
        </is>
      </c>
      <c r="D5" s="5" t="inlineStr">
        <is>
          <t>per application</t>
        </is>
      </c>
      <c r="E5" s="5" t="inlineStr">
        <is>
          <t>Header + content area, up to 3 static routes</t>
        </is>
      </c>
      <c r="F5" s="5" t="inlineStr">
        <is>
          <t>Header + sidebar, route guards, 404/error pages</t>
        </is>
      </c>
      <c r="G5" s="5" t="inlineStr">
        <is>
          <t>Multiple layouts (public/auth/admin), nested routes, global state, error boundaries</t>
        </is>
      </c>
      <c r="H5" s="43" t="n">
        <v>8</v>
      </c>
      <c r="I5" s="43" t="n">
        <v>16</v>
      </c>
      <c r="J5" s="43" t="n">
        <v>32</v>
      </c>
      <c r="K5" s="22">
        <f>H5*(1-Assumptions!$B$5)</f>
        <v/>
      </c>
      <c r="L5" s="22">
        <f>I5*(1-Assumptions!$B$5)</f>
        <v/>
      </c>
      <c r="M5" s="22">
        <f>J5*(1-Assumptions!$B$5)</f>
        <v/>
      </c>
    </row>
    <row r="6">
      <c r="A6" s="5" t="inlineStr">
        <is>
          <t>Foundation &amp; Layout</t>
        </is>
      </c>
      <c r="B6" s="28" t="inlineStr">
        <is>
          <t>UI</t>
        </is>
      </c>
      <c r="C6" s="4" t="inlineStr">
        <is>
          <t>Sidebar navigation</t>
        </is>
      </c>
      <c r="D6" s="5" t="inlineStr">
        <is>
          <t>per application</t>
        </is>
      </c>
      <c r="E6" s="5" t="inlineStr">
        <is>
          <t>Flat list of links</t>
        </is>
      </c>
      <c r="F6" s="5" t="inlineStr">
        <is>
          <t>Grouped links, active state, collapsible</t>
        </is>
      </c>
      <c r="G6" s="5" t="inlineStr">
        <is>
          <t>Multi-level nested menu, role-driven items, persisted state</t>
        </is>
      </c>
      <c r="H6" s="43" t="n">
        <v>4</v>
      </c>
      <c r="I6" s="43" t="n">
        <v>8</v>
      </c>
      <c r="J6" s="43" t="n">
        <v>16</v>
      </c>
      <c r="K6" s="22">
        <f>H6*(1-Assumptions!$B$5)</f>
        <v/>
      </c>
      <c r="L6" s="22">
        <f>I6*(1-Assumptions!$B$5)</f>
        <v/>
      </c>
      <c r="M6" s="22">
        <f>J6*(1-Assumptions!$B$5)</f>
        <v/>
      </c>
    </row>
    <row r="7">
      <c r="A7" s="5" t="inlineStr">
        <is>
          <t>Foundation &amp; Layout</t>
        </is>
      </c>
      <c r="B7" s="28" t="inlineStr">
        <is>
          <t>UI</t>
        </is>
      </c>
      <c r="C7" s="4" t="inlineStr">
        <is>
          <t>Top header / app bar</t>
        </is>
      </c>
      <c r="D7" s="5" t="inlineStr">
        <is>
          <t>per application</t>
        </is>
      </c>
      <c r="E7" s="5" t="inlineStr">
        <is>
          <t>Title and static links</t>
        </is>
      </c>
      <c r="F7" s="5" t="inlineStr">
        <is>
          <t>Logo, user menu, notification badge</t>
        </is>
      </c>
      <c r="G7" s="5" t="inlineStr">
        <is>
          <t>Global search, context/organisation switcher, notification dropdown</t>
        </is>
      </c>
      <c r="H7" s="43" t="n">
        <v>3</v>
      </c>
      <c r="I7" s="43" t="n">
        <v>6</v>
      </c>
      <c r="J7" s="43" t="n">
        <v>12</v>
      </c>
      <c r="K7" s="22">
        <f>H7*(1-Assumptions!$B$5)</f>
        <v/>
      </c>
      <c r="L7" s="22">
        <f>I7*(1-Assumptions!$B$5)</f>
        <v/>
      </c>
      <c r="M7" s="22">
        <f>J7*(1-Assumptions!$B$5)</f>
        <v/>
      </c>
    </row>
    <row r="8">
      <c r="A8" s="5" t="inlineStr">
        <is>
          <t>Foundation &amp; Layout</t>
        </is>
      </c>
      <c r="B8" s="28" t="inlineStr">
        <is>
          <t>UI</t>
        </is>
      </c>
      <c r="C8" s="4" t="inlineStr">
        <is>
          <t>Breadcrumbs &amp; tabs</t>
        </is>
      </c>
      <c r="D8" s="5" t="inlineStr">
        <is>
          <t>per page</t>
        </is>
      </c>
      <c r="E8" s="5" t="inlineStr">
        <is>
          <t>Static breadcrumbs or tabs</t>
        </is>
      </c>
      <c r="F8" s="5" t="inlineStr">
        <is>
          <t>Route-driven tabs and breadcrumbs</t>
        </is>
      </c>
      <c r="G8" s="5" t="inlineStr">
        <is>
          <t>Data-driven breadcrumbs, guarded or lazy-loaded tabs</t>
        </is>
      </c>
      <c r="H8" s="43" t="n">
        <v>2</v>
      </c>
      <c r="I8" s="43" t="n">
        <v>4</v>
      </c>
      <c r="J8" s="43" t="n">
        <v>8</v>
      </c>
      <c r="K8" s="22">
        <f>H8*(1-Assumptions!$B$5)</f>
        <v/>
      </c>
      <c r="L8" s="22">
        <f>I8*(1-Assumptions!$B$5)</f>
        <v/>
      </c>
      <c r="M8" s="22">
        <f>J8*(1-Assumptions!$B$5)</f>
        <v/>
      </c>
    </row>
    <row r="9">
      <c r="A9" s="5" t="inlineStr">
        <is>
          <t>Foundation &amp; Layout</t>
        </is>
      </c>
      <c r="B9" s="28" t="inlineStr">
        <is>
          <t>UI</t>
        </is>
      </c>
      <c r="C9" s="4" t="inlineStr">
        <is>
          <t>Responsive layout</t>
        </is>
      </c>
      <c r="D9" s="5" t="inlineStr">
        <is>
          <t>per page</t>
        </is>
      </c>
      <c r="E9" s="5" t="inlineStr">
        <is>
          <t>Library grid, 2 breakpoints</t>
        </is>
      </c>
      <c r="F9" s="5" t="inlineStr">
        <is>
          <t>Desktop / tablet / mobile adaptation of one page</t>
        </is>
      </c>
      <c r="G9" s="5" t="inlineStr">
        <is>
          <t>Reflowing panels, collapsing regions, sticky areas on dense pages</t>
        </is>
      </c>
      <c r="H9" s="43" t="n">
        <v>4</v>
      </c>
      <c r="I9" s="43" t="n">
        <v>8</v>
      </c>
      <c r="J9" s="43" t="n">
        <v>16</v>
      </c>
      <c r="K9" s="22">
        <f>H9*(1-Assumptions!$B$5)</f>
        <v/>
      </c>
      <c r="L9" s="22">
        <f>I9*(1-Assumptions!$B$5)</f>
        <v/>
      </c>
      <c r="M9" s="22">
        <f>J9*(1-Assumptions!$B$5)</f>
        <v/>
      </c>
    </row>
    <row r="10">
      <c r="A10" s="5" t="inlineStr">
        <is>
          <t>Foundation &amp; Layout</t>
        </is>
      </c>
      <c r="B10" s="28" t="inlineStr">
        <is>
          <t>UI</t>
        </is>
      </c>
      <c r="C10" s="4" t="inlineStr">
        <is>
          <t>Master-detail view</t>
        </is>
      </c>
      <c r="D10" s="5" t="inlineStr">
        <is>
          <t>per view</t>
        </is>
      </c>
      <c r="E10" s="5" t="inlineStr">
        <is>
          <t>List + detail pane, static data</t>
        </is>
      </c>
      <c r="F10" s="5" t="inlineStr">
        <is>
          <t>API-fed list and detail with synced selection</t>
        </is>
      </c>
      <c r="G10" s="5" t="inlineStr">
        <is>
          <t>Editable detail, pagination, deep links, unsaved-changes guard</t>
        </is>
      </c>
      <c r="H10" s="43" t="n">
        <v>8</v>
      </c>
      <c r="I10" s="43" t="n">
        <v>16</v>
      </c>
      <c r="J10" s="43" t="n">
        <v>28</v>
      </c>
      <c r="K10" s="22">
        <f>H10*(1-Assumptions!$B$5)</f>
        <v/>
      </c>
      <c r="L10" s="22">
        <f>I10*(1-Assumptions!$B$5)</f>
        <v/>
      </c>
      <c r="M10" s="22">
        <f>J10*(1-Assumptions!$B$5)</f>
        <v/>
      </c>
    </row>
    <row r="11">
      <c r="A11" s="5" t="inlineStr">
        <is>
          <t>Foundation &amp; Layout</t>
        </is>
      </c>
      <c r="B11" s="28" t="inlineStr">
        <is>
          <t>UI</t>
        </is>
      </c>
      <c r="C11" s="4" t="inlineStr">
        <is>
          <t>Theme &amp; design tokens</t>
        </is>
      </c>
      <c r="D11" s="5" t="inlineStr">
        <is>
          <t>per application</t>
        </is>
      </c>
      <c r="E11" s="5" t="inlineStr">
        <is>
          <t>Component-library theme with brand colours</t>
        </is>
      </c>
      <c r="F11" s="5" t="inlineStr">
        <is>
          <t>Light/dark toggle, persisted preference</t>
        </is>
      </c>
      <c r="G11" s="5" t="inlineStr">
        <is>
          <t>Custom design-system tokens, multiple brands/themes</t>
        </is>
      </c>
      <c r="H11" s="43" t="n">
        <v>4</v>
      </c>
      <c r="I11" s="43" t="n">
        <v>12</v>
      </c>
      <c r="J11" s="43" t="n">
        <v>24</v>
      </c>
      <c r="K11" s="22">
        <f>H11*(1-Assumptions!$B$5)</f>
        <v/>
      </c>
      <c r="L11" s="22">
        <f>I11*(1-Assumptions!$B$5)</f>
        <v/>
      </c>
      <c r="M11" s="22">
        <f>J11*(1-Assumptions!$B$5)</f>
        <v/>
      </c>
    </row>
    <row r="12">
      <c r="A12" s="5" t="inlineStr">
        <is>
          <t>Foundation &amp; Layout</t>
        </is>
      </c>
      <c r="B12" s="28" t="inlineStr">
        <is>
          <t>UI</t>
        </is>
      </c>
      <c r="C12" s="4" t="inlineStr">
        <is>
          <t>Static content section</t>
        </is>
      </c>
      <c r="D12" s="5" t="inlineStr">
        <is>
          <t>per section</t>
        </is>
      </c>
      <c r="E12" s="5" t="inlineStr">
        <is>
          <t>Text and images (e.g. footer, info block)</t>
        </is>
      </c>
      <c r="F12" s="5" t="inlineStr">
        <is>
          <t>Media, accordion, anchors, FAQ</t>
        </is>
      </c>
      <c r="G12" s="5" t="inlineStr">
        <is>
          <t>CMS-driven or highly interactive content</t>
        </is>
      </c>
      <c r="H12" s="43" t="n">
        <v>3</v>
      </c>
      <c r="I12" s="43" t="n">
        <v>6</v>
      </c>
      <c r="J12" s="43" t="n">
        <v>12</v>
      </c>
      <c r="K12" s="22">
        <f>H12*(1-Assumptions!$B$5)</f>
        <v/>
      </c>
      <c r="L12" s="22">
        <f>I12*(1-Assumptions!$B$5)</f>
        <v/>
      </c>
      <c r="M12" s="22">
        <f>J12*(1-Assumptions!$B$5)</f>
        <v/>
      </c>
    </row>
    <row r="13">
      <c r="A13" s="5" t="inlineStr">
        <is>
          <t>Foundation &amp; Layout</t>
        </is>
      </c>
      <c r="B13" s="28" t="inlineStr">
        <is>
          <t>UI</t>
        </is>
      </c>
      <c r="C13" s="4" t="inlineStr">
        <is>
          <t>Localisation (i18n)</t>
        </is>
      </c>
      <c r="D13" s="5" t="inlineStr">
        <is>
          <t>per application</t>
        </is>
      </c>
      <c r="E13" s="5" t="inlineStr">
        <is>
          <t>One extra language, static strings</t>
        </is>
      </c>
      <c r="F13" s="5" t="inlineStr">
        <is>
          <t>Runtime language switch, locale date/number formats</t>
        </is>
      </c>
      <c r="G13" s="5" t="inlineStr">
        <is>
          <t>RTL support, pluralisation, per-user locale persistence</t>
        </is>
      </c>
      <c r="H13" s="43" t="n">
        <v>6</v>
      </c>
      <c r="I13" s="43" t="n">
        <v>12</v>
      </c>
      <c r="J13" s="43" t="n">
        <v>24</v>
      </c>
      <c r="K13" s="22">
        <f>H13*(1-Assumptions!$B$5)</f>
        <v/>
      </c>
      <c r="L13" s="22">
        <f>I13*(1-Assumptions!$B$5)</f>
        <v/>
      </c>
      <c r="M13" s="22">
        <f>J13*(1-Assumptions!$B$5)</f>
        <v/>
      </c>
    </row>
    <row r="14">
      <c r="A14" s="5" t="inlineStr">
        <is>
          <t>Data Display</t>
        </is>
      </c>
      <c r="B14" s="28" t="inlineStr">
        <is>
          <t>UI</t>
        </is>
      </c>
      <c r="C14" s="4" t="inlineStr">
        <is>
          <t>Data table</t>
        </is>
      </c>
      <c r="D14" s="5" t="inlineStr">
        <is>
          <t>per table</t>
        </is>
      </c>
      <c r="E14" s="5" t="inlineStr">
        <is>
          <t>Static columns, one API, loaded on page load, no interaction</t>
        </is>
      </c>
      <c r="F14" s="5" t="inlineStr">
        <is>
          <t>Server-side sort / filter / pagination, formatted columns</t>
        </is>
      </c>
      <c r="G14" s="5" t="inlineStr">
        <is>
          <t>Live updates (polling/websocket), virtualisation, column configuration, inline actions</t>
        </is>
      </c>
      <c r="H14" s="43" t="n">
        <v>4</v>
      </c>
      <c r="I14" s="43" t="n">
        <v>12</v>
      </c>
      <c r="J14" s="43" t="n">
        <v>24</v>
      </c>
      <c r="K14" s="22">
        <f>H14*(1-Assumptions!$B$5)</f>
        <v/>
      </c>
      <c r="L14" s="22">
        <f>I14*(1-Assumptions!$B$5)</f>
        <v/>
      </c>
      <c r="M14" s="22">
        <f>J14*(1-Assumptions!$B$5)</f>
        <v/>
      </c>
    </row>
    <row r="15">
      <c r="A15" s="5" t="inlineStr">
        <is>
          <t>Data Display</t>
        </is>
      </c>
      <c r="B15" s="28" t="inlineStr">
        <is>
          <t>UI</t>
        </is>
      </c>
      <c r="C15" s="4" t="inlineStr">
        <is>
          <t>Row actions &amp; bulk selection</t>
        </is>
      </c>
      <c r="D15" s="5" t="inlineStr">
        <is>
          <t>per table</t>
        </is>
      </c>
      <c r="E15" s="5" t="inlineStr">
        <is>
          <t>Edit/delete icons per row</t>
        </is>
      </c>
      <c r="F15" s="5" t="inlineStr">
        <is>
          <t>Row selection, bulk action menu, confirmation</t>
        </is>
      </c>
      <c r="G15" s="5" t="inlineStr">
        <is>
          <t>Permission-driven actions, async batch operations with progress</t>
        </is>
      </c>
      <c r="H15" s="43" t="n">
        <v>4</v>
      </c>
      <c r="I15" s="43" t="n">
        <v>8</v>
      </c>
      <c r="J15" s="43" t="n">
        <v>16</v>
      </c>
      <c r="K15" s="22">
        <f>H15*(1-Assumptions!$B$5)</f>
        <v/>
      </c>
      <c r="L15" s="22">
        <f>I15*(1-Assumptions!$B$5)</f>
        <v/>
      </c>
      <c r="M15" s="22">
        <f>J15*(1-Assumptions!$B$5)</f>
        <v/>
      </c>
    </row>
    <row r="16">
      <c r="A16" s="5" t="inlineStr">
        <is>
          <t>Data Display</t>
        </is>
      </c>
      <c r="B16" s="28" t="inlineStr">
        <is>
          <t>UI</t>
        </is>
      </c>
      <c r="C16" s="4" t="inlineStr">
        <is>
          <t>Editable data grid</t>
        </is>
      </c>
      <c r="D16" s="5" t="inlineStr">
        <is>
          <t>per grid</t>
        </is>
      </c>
      <c r="E16" s="5" t="inlineStr">
        <is>
          <t>Inline edit of one field type</t>
        </is>
      </c>
      <c r="F16" s="5" t="inlineStr">
        <is>
          <t>Several editor types, per-cell validation</t>
        </is>
      </c>
      <c r="G16" s="5" t="inlineStr">
        <is>
          <t>Spreadsheet-style editing, bulk edit, undo, autosave, large data sets</t>
        </is>
      </c>
      <c r="H16" s="43" t="n">
        <v>12</v>
      </c>
      <c r="I16" s="43" t="n">
        <v>20</v>
      </c>
      <c r="J16" s="43" t="n">
        <v>36</v>
      </c>
      <c r="K16" s="22">
        <f>H16*(1-Assumptions!$B$5)</f>
        <v/>
      </c>
      <c r="L16" s="22">
        <f>I16*(1-Assumptions!$B$5)</f>
        <v/>
      </c>
      <c r="M16" s="22">
        <f>J16*(1-Assumptions!$B$5)</f>
        <v/>
      </c>
    </row>
    <row r="17">
      <c r="A17" s="5" t="inlineStr">
        <is>
          <t>Data Display</t>
        </is>
      </c>
      <c r="B17" s="28" t="inlineStr">
        <is>
          <t>UI</t>
        </is>
      </c>
      <c r="C17" s="4" t="inlineStr">
        <is>
          <t>Tree / hierarchy view</t>
        </is>
      </c>
      <c r="D17" s="5" t="inlineStr">
        <is>
          <t>per view</t>
        </is>
      </c>
      <c r="E17" s="5" t="inlineStr">
        <is>
          <t>Static expandable tree</t>
        </is>
      </c>
      <c r="F17" s="5" t="inlineStr">
        <is>
          <t>Lazy-loaded nodes, selection</t>
        </is>
      </c>
      <c r="G17" s="5" t="inlineStr">
        <is>
          <t>Drag-and-drop, checkboxes, search, inline edit</t>
        </is>
      </c>
      <c r="H17" s="43" t="n">
        <v>8</v>
      </c>
      <c r="I17" s="43" t="n">
        <v>16</v>
      </c>
      <c r="J17" s="43" t="n">
        <v>28</v>
      </c>
      <c r="K17" s="22">
        <f>H17*(1-Assumptions!$B$5)</f>
        <v/>
      </c>
      <c r="L17" s="22">
        <f>I17*(1-Assumptions!$B$5)</f>
        <v/>
      </c>
      <c r="M17" s="22">
        <f>J17*(1-Assumptions!$B$5)</f>
        <v/>
      </c>
    </row>
    <row r="18">
      <c r="A18" s="5" t="inlineStr">
        <is>
          <t>Data Display</t>
        </is>
      </c>
      <c r="B18" s="28" t="inlineStr">
        <is>
          <t>UI</t>
        </is>
      </c>
      <c r="C18" s="4" t="inlineStr">
        <is>
          <t>Info / record card</t>
        </is>
      </c>
      <c r="D18" s="5" t="inlineStr">
        <is>
          <t>per card type</t>
        </is>
      </c>
      <c r="E18" s="5" t="inlineStr">
        <is>
          <t>Static content card</t>
        </is>
      </c>
      <c r="F18" s="5" t="inlineStr">
        <is>
          <t>Clickable card with states and actions</t>
        </is>
      </c>
      <c r="G18" s="5" t="inlineStr">
        <is>
          <t>Inline edit, expandable sections, drag support</t>
        </is>
      </c>
      <c r="H18" s="43" t="n">
        <v>2</v>
      </c>
      <c r="I18" s="43" t="n">
        <v>5</v>
      </c>
      <c r="J18" s="43" t="n">
        <v>10</v>
      </c>
      <c r="K18" s="22">
        <f>H18*(1-Assumptions!$B$5)</f>
        <v/>
      </c>
      <c r="L18" s="22">
        <f>I18*(1-Assumptions!$B$5)</f>
        <v/>
      </c>
      <c r="M18" s="22">
        <f>J18*(1-Assumptions!$B$5)</f>
        <v/>
      </c>
    </row>
    <row r="19">
      <c r="A19" s="5" t="inlineStr">
        <is>
          <t>Data Display</t>
        </is>
      </c>
      <c r="B19" s="28" t="inlineStr">
        <is>
          <t>UI</t>
        </is>
      </c>
      <c r="C19" s="4" t="inlineStr">
        <is>
          <t>KPI / stat card</t>
        </is>
      </c>
      <c r="D19" s="5" t="inlineStr">
        <is>
          <t>per card</t>
        </is>
      </c>
      <c r="E19" s="5" t="inlineStr">
        <is>
          <t>Single metric value</t>
        </is>
      </c>
      <c r="F19" s="5" t="inlineStr">
        <is>
          <t>Metric with trend and period comparison</t>
        </is>
      </c>
      <c r="G19" s="5" t="inlineStr">
        <is>
          <t>Live-updating, thresholds, drill-down</t>
        </is>
      </c>
      <c r="H19" s="43" t="n">
        <v>3</v>
      </c>
      <c r="I19" s="43" t="n">
        <v>6</v>
      </c>
      <c r="J19" s="43" t="n">
        <v>12</v>
      </c>
      <c r="K19" s="22">
        <f>H19*(1-Assumptions!$B$5)</f>
        <v/>
      </c>
      <c r="L19" s="22">
        <f>I19*(1-Assumptions!$B$5)</f>
        <v/>
      </c>
      <c r="M19" s="22">
        <f>J19*(1-Assumptions!$B$5)</f>
        <v/>
      </c>
    </row>
    <row r="20">
      <c r="A20" s="5" t="inlineStr">
        <is>
          <t>Data Display</t>
        </is>
      </c>
      <c r="B20" s="28" t="inlineStr">
        <is>
          <t>UI</t>
        </is>
      </c>
      <c r="C20" s="4" t="inlineStr">
        <is>
          <t>Detail / summary panel</t>
        </is>
      </c>
      <c r="D20" s="5" t="inlineStr">
        <is>
          <t>per panel</t>
        </is>
      </c>
      <c r="E20" s="5" t="inlineStr">
        <is>
          <t>Read-only key-value block</t>
        </is>
      </c>
      <c r="F20" s="5" t="inlineStr">
        <is>
          <t>Grouped sections with actions, API-fed</t>
        </is>
      </c>
      <c r="G20" s="5" t="inlineStr">
        <is>
          <t>Inline edit, conditional sections, permission-aware fields</t>
        </is>
      </c>
      <c r="H20" s="43" t="n">
        <v>3</v>
      </c>
      <c r="I20" s="43" t="n">
        <v>8</v>
      </c>
      <c r="J20" s="43" t="n">
        <v>16</v>
      </c>
      <c r="K20" s="22">
        <f>H20*(1-Assumptions!$B$5)</f>
        <v/>
      </c>
      <c r="L20" s="22">
        <f>I20*(1-Assumptions!$B$5)</f>
        <v/>
      </c>
      <c r="M20" s="22">
        <f>J20*(1-Assumptions!$B$5)</f>
        <v/>
      </c>
    </row>
    <row r="21">
      <c r="A21" s="5" t="inlineStr">
        <is>
          <t>Data Display</t>
        </is>
      </c>
      <c r="B21" s="28" t="inlineStr">
        <is>
          <t>UI</t>
        </is>
      </c>
      <c r="C21" s="4" t="inlineStr">
        <is>
          <t>Timeline / activity feed</t>
        </is>
      </c>
      <c r="D21" s="5" t="inlineStr">
        <is>
          <t>per feed</t>
        </is>
      </c>
      <c r="E21" s="5" t="inlineStr">
        <is>
          <t>Static list of events</t>
        </is>
      </c>
      <c r="F21" s="5" t="inlineStr">
        <is>
          <t>Icons, metadata, API-fed, paginated</t>
        </is>
      </c>
      <c r="G21" s="5" t="inlineStr">
        <is>
          <t>Real-time updates, grouping, filters, expandable detail</t>
        </is>
      </c>
      <c r="H21" s="43" t="n">
        <v>6</v>
      </c>
      <c r="I21" s="43" t="n">
        <v>12</v>
      </c>
      <c r="J21" s="43" t="n">
        <v>20</v>
      </c>
      <c r="K21" s="22">
        <f>H21*(1-Assumptions!$B$5)</f>
        <v/>
      </c>
      <c r="L21" s="22">
        <f>I21*(1-Assumptions!$B$5)</f>
        <v/>
      </c>
      <c r="M21" s="22">
        <f>J21*(1-Assumptions!$B$5)</f>
        <v/>
      </c>
    </row>
    <row r="22">
      <c r="A22" s="5" t="inlineStr">
        <is>
          <t>Data Display</t>
        </is>
      </c>
      <c r="B22" s="28" t="inlineStr">
        <is>
          <t>UI</t>
        </is>
      </c>
      <c r="C22" s="4" t="inlineStr">
        <is>
          <t>Kanban board</t>
        </is>
      </c>
      <c r="D22" s="5" t="inlineStr">
        <is>
          <t>per board</t>
        </is>
      </c>
      <c r="E22" s="5" t="inlineStr">
        <is>
          <t>Fixed columns, local drag-and-drop</t>
        </is>
      </c>
      <c r="F22" s="5" t="inlineStr">
        <is>
          <t>Changes persisted via API, card detail modal</t>
        </is>
      </c>
      <c r="G22" s="5" t="inlineStr">
        <is>
          <t>Swimlanes, WIP limits, real-time sync, permissions</t>
        </is>
      </c>
      <c r="H22" s="43" t="n">
        <v>16</v>
      </c>
      <c r="I22" s="43" t="n">
        <v>28</v>
      </c>
      <c r="J22" s="43" t="n">
        <v>40</v>
      </c>
      <c r="K22" s="22">
        <f>H22*(1-Assumptions!$B$5)</f>
        <v/>
      </c>
      <c r="L22" s="22">
        <f>I22*(1-Assumptions!$B$5)</f>
        <v/>
      </c>
      <c r="M22" s="22">
        <f>J22*(1-Assumptions!$B$5)</f>
        <v/>
      </c>
    </row>
    <row r="23">
      <c r="A23" s="5" t="inlineStr">
        <is>
          <t>Data Display</t>
        </is>
      </c>
      <c r="B23" s="28" t="inlineStr">
        <is>
          <t>UI</t>
        </is>
      </c>
      <c r="C23" s="4" t="inlineStr">
        <is>
          <t>Empty, loading &amp; error states</t>
        </is>
      </c>
      <c r="D23" s="5" t="inlineStr">
        <is>
          <t>per page</t>
        </is>
      </c>
      <c r="E23" s="5" t="inlineStr">
        <is>
          <t>Spinner and generic empty message</t>
        </is>
      </c>
      <c r="F23" s="5" t="inlineStr">
        <is>
          <t>Skeleton loaders, retry on error</t>
        </is>
      </c>
      <c r="G23" s="5" t="inlineStr">
        <is>
          <t>Contextual errors, offline handling, partial-failure UI</t>
        </is>
      </c>
      <c r="H23" s="43" t="n">
        <v>2</v>
      </c>
      <c r="I23" s="43" t="n">
        <v>4</v>
      </c>
      <c r="J23" s="43" t="n">
        <v>8</v>
      </c>
      <c r="K23" s="22">
        <f>H23*(1-Assumptions!$B$5)</f>
        <v/>
      </c>
      <c r="L23" s="22">
        <f>I23*(1-Assumptions!$B$5)</f>
        <v/>
      </c>
      <c r="M23" s="22">
        <f>J23*(1-Assumptions!$B$5)</f>
        <v/>
      </c>
    </row>
    <row r="24">
      <c r="A24" s="5" t="inlineStr">
        <is>
          <t>Forms &amp; Inputs</t>
        </is>
      </c>
      <c r="B24" s="28" t="inlineStr">
        <is>
          <t>UI</t>
        </is>
      </c>
      <c r="C24" s="4" t="inlineStr">
        <is>
          <t>Form (create / edit)</t>
        </is>
      </c>
      <c r="D24" s="5" t="inlineStr">
        <is>
          <t>per form</t>
        </is>
      </c>
      <c r="E24" s="5" t="inlineStr">
        <is>
          <t>Up to 5 basic fields, required-field validation, one submit API</t>
        </is>
      </c>
      <c r="F24" s="5" t="inlineStr">
        <is>
          <t>6-12 fields, mixed input types, schema validation, server-error mapping</t>
        </is>
      </c>
      <c r="G24" s="5" t="inlineStr">
        <is>
          <t>More than 12 fields, conditional/dependent fields, autosave/draft, unsaved-changes guard</t>
        </is>
      </c>
      <c r="H24" s="43" t="n">
        <v>6</v>
      </c>
      <c r="I24" s="43" t="n">
        <v>14</v>
      </c>
      <c r="J24" s="43" t="n">
        <v>28</v>
      </c>
      <c r="K24" s="22">
        <f>H24*(1-Assumptions!$B$5)</f>
        <v/>
      </c>
      <c r="L24" s="22">
        <f>I24*(1-Assumptions!$B$5)</f>
        <v/>
      </c>
      <c r="M24" s="22">
        <f>J24*(1-Assumptions!$B$5)</f>
        <v/>
      </c>
    </row>
    <row r="25">
      <c r="A25" s="5" t="inlineStr">
        <is>
          <t>Forms &amp; Inputs</t>
        </is>
      </c>
      <c r="B25" s="28" t="inlineStr">
        <is>
          <t>UI</t>
        </is>
      </c>
      <c r="C25" s="4" t="inlineStr">
        <is>
          <t>Multi-step wizard</t>
        </is>
      </c>
      <c r="D25" s="5" t="inlineStr">
        <is>
          <t>per wizard</t>
        </is>
      </c>
      <c r="E25" s="5" t="inlineStr">
        <is>
          <t>2-3 linear steps, local state</t>
        </is>
      </c>
      <c r="F25" s="5" t="inlineStr">
        <is>
          <t>4-5 steps, per-step validation, review step</t>
        </is>
      </c>
      <c r="G25" s="5" t="inlineStr">
        <is>
          <t>Branching steps, save/resume, per-step API calls</t>
        </is>
      </c>
      <c r="H25" s="43" t="n">
        <v>12</v>
      </c>
      <c r="I25" s="43" t="n">
        <v>24</v>
      </c>
      <c r="J25" s="43" t="n">
        <v>40</v>
      </c>
      <c r="K25" s="22">
        <f>H25*(1-Assumptions!$B$5)</f>
        <v/>
      </c>
      <c r="L25" s="22">
        <f>I25*(1-Assumptions!$B$5)</f>
        <v/>
      </c>
      <c r="M25" s="22">
        <f>J25*(1-Assumptions!$B$5)</f>
        <v/>
      </c>
    </row>
    <row r="26">
      <c r="A26" s="5" t="inlineStr">
        <is>
          <t>Forms &amp; Inputs</t>
        </is>
      </c>
      <c r="B26" s="28" t="inlineStr">
        <is>
          <t>UI</t>
        </is>
      </c>
      <c r="C26" s="4" t="inlineStr">
        <is>
          <t>Select / dropdown / combobox</t>
        </is>
      </c>
      <c r="D26" s="5" t="inlineStr">
        <is>
          <t>per control type</t>
        </is>
      </c>
      <c r="E26" s="5" t="inlineStr">
        <is>
          <t>Static options</t>
        </is>
      </c>
      <c r="F26" s="5" t="inlineStr">
        <is>
          <t>Searchable, options loaded from an API</t>
        </is>
      </c>
      <c r="G26" s="5" t="inlineStr">
        <is>
          <t>Async search, multi-select, cascading or creatable options</t>
        </is>
      </c>
      <c r="H26" s="43" t="n">
        <v>2</v>
      </c>
      <c r="I26" s="43" t="n">
        <v>6</v>
      </c>
      <c r="J26" s="43" t="n">
        <v>14</v>
      </c>
      <c r="K26" s="22">
        <f>H26*(1-Assumptions!$B$5)</f>
        <v/>
      </c>
      <c r="L26" s="22">
        <f>I26*(1-Assumptions!$B$5)</f>
        <v/>
      </c>
      <c r="M26" s="22">
        <f>J26*(1-Assumptions!$B$5)</f>
        <v/>
      </c>
    </row>
    <row r="27">
      <c r="A27" s="5" t="inlineStr">
        <is>
          <t>Forms &amp; Inputs</t>
        </is>
      </c>
      <c r="B27" s="28" t="inlineStr">
        <is>
          <t>UI</t>
        </is>
      </c>
      <c r="C27" s="4" t="inlineStr">
        <is>
          <t>Date / date-range picker</t>
        </is>
      </c>
      <c r="D27" s="5" t="inlineStr">
        <is>
          <t>per control type</t>
        </is>
      </c>
      <c r="E27" s="5" t="inlineStr">
        <is>
          <t>Component-library date picker</t>
        </is>
      </c>
      <c r="F27" s="5" t="inlineStr">
        <is>
          <t>Date range, presets, timezone/format handling</t>
        </is>
      </c>
      <c r="G27" s="5" t="inlineStr">
        <is>
          <t>Constraints, custom calendar rules, localisation</t>
        </is>
      </c>
      <c r="H27" s="43" t="n">
        <v>3</v>
      </c>
      <c r="I27" s="43" t="n">
        <v>8</v>
      </c>
      <c r="J27" s="43" t="n">
        <v>16</v>
      </c>
      <c r="K27" s="22">
        <f>H27*(1-Assumptions!$B$5)</f>
        <v/>
      </c>
      <c r="L27" s="22">
        <f>I27*(1-Assumptions!$B$5)</f>
        <v/>
      </c>
      <c r="M27" s="22">
        <f>J27*(1-Assumptions!$B$5)</f>
        <v/>
      </c>
    </row>
    <row r="28">
      <c r="A28" s="5" t="inlineStr">
        <is>
          <t>Forms &amp; Inputs</t>
        </is>
      </c>
      <c r="B28" s="28" t="inlineStr">
        <is>
          <t>UI</t>
        </is>
      </c>
      <c r="C28" s="4" t="inlineStr">
        <is>
          <t>Rich text / markdown editor</t>
        </is>
      </c>
      <c r="D28" s="5" t="inlineStr">
        <is>
          <t>per editor</t>
        </is>
      </c>
      <c r="E28" s="5" t="inlineStr">
        <is>
          <t>Library drop-in editor</t>
        </is>
      </c>
      <c r="F28" s="5" t="inlineStr">
        <is>
          <t>Toolbar, live preview, sanitisation</t>
        </is>
      </c>
      <c r="G28" s="5" t="inlineStr">
        <is>
          <t>Mentions, embedded media, collaboration hooks</t>
        </is>
      </c>
      <c r="H28" s="43" t="n">
        <v>6</v>
      </c>
      <c r="I28" s="43" t="n">
        <v>14</v>
      </c>
      <c r="J28" s="43" t="n">
        <v>28</v>
      </c>
      <c r="K28" s="22">
        <f>H28*(1-Assumptions!$B$5)</f>
        <v/>
      </c>
      <c r="L28" s="22">
        <f>I28*(1-Assumptions!$B$5)</f>
        <v/>
      </c>
      <c r="M28" s="22">
        <f>J28*(1-Assumptions!$B$5)</f>
        <v/>
      </c>
    </row>
    <row r="29">
      <c r="A29" s="5" t="inlineStr">
        <is>
          <t>Forms &amp; Inputs</t>
        </is>
      </c>
      <c r="B29" s="28" t="inlineStr">
        <is>
          <t>UI</t>
        </is>
      </c>
      <c r="C29" s="4" t="inlineStr">
        <is>
          <t>File upload</t>
        </is>
      </c>
      <c r="D29" s="5" t="inlineStr">
        <is>
          <t>per control</t>
        </is>
      </c>
      <c r="E29" s="5" t="inlineStr">
        <is>
          <t>Single file, basic validation</t>
        </is>
      </c>
      <c r="F29" s="5" t="inlineStr">
        <is>
          <t>Multiple files, drag-and-drop, progress bar</t>
        </is>
      </c>
      <c r="G29" s="5" t="inlineStr">
        <is>
          <t>Chunked/resumable upload, previews, per-file error handling</t>
        </is>
      </c>
      <c r="H29" s="43" t="n">
        <v>4</v>
      </c>
      <c r="I29" s="43" t="n">
        <v>12</v>
      </c>
      <c r="J29" s="43" t="n">
        <v>24</v>
      </c>
      <c r="K29" s="22">
        <f>H29*(1-Assumptions!$B$5)</f>
        <v/>
      </c>
      <c r="L29" s="22">
        <f>I29*(1-Assumptions!$B$5)</f>
        <v/>
      </c>
      <c r="M29" s="22">
        <f>J29*(1-Assumptions!$B$5)</f>
        <v/>
      </c>
    </row>
    <row r="30">
      <c r="A30" s="5" t="inlineStr">
        <is>
          <t>Search &amp; Filter</t>
        </is>
      </c>
      <c r="B30" s="28" t="inlineStr">
        <is>
          <t>UI</t>
        </is>
      </c>
      <c r="C30" s="4" t="inlineStr">
        <is>
          <t>Search box &amp; suggestions</t>
        </is>
      </c>
      <c r="D30" s="5" t="inlineStr">
        <is>
          <t>per control</t>
        </is>
      </c>
      <c r="E30" s="5" t="inlineStr">
        <is>
          <t>Debounced search box</t>
        </is>
      </c>
      <c r="F30" s="5" t="inlineStr">
        <is>
          <t>Type-ahead suggestions</t>
        </is>
      </c>
      <c r="G30" s="5" t="inlineStr">
        <is>
          <t>Federated results, recent/saved searches, keyboard navigation</t>
        </is>
      </c>
      <c r="H30" s="43" t="n">
        <v>3</v>
      </c>
      <c r="I30" s="43" t="n">
        <v>10</v>
      </c>
      <c r="J30" s="43" t="n">
        <v>20</v>
      </c>
      <c r="K30" s="22">
        <f>H30*(1-Assumptions!$B$5)</f>
        <v/>
      </c>
      <c r="L30" s="22">
        <f>I30*(1-Assumptions!$B$5)</f>
        <v/>
      </c>
      <c r="M30" s="22">
        <f>J30*(1-Assumptions!$B$5)</f>
        <v/>
      </c>
    </row>
    <row r="31">
      <c r="A31" s="5" t="inlineStr">
        <is>
          <t>Search &amp; Filter</t>
        </is>
      </c>
      <c r="B31" s="28" t="inlineStr">
        <is>
          <t>UI</t>
        </is>
      </c>
      <c r="C31" s="4" t="inlineStr">
        <is>
          <t>Filter bar / panel</t>
        </is>
      </c>
      <c r="D31" s="5" t="inlineStr">
        <is>
          <t>per page</t>
        </is>
      </c>
      <c r="E31" s="5" t="inlineStr">
        <is>
          <t>2-3 client-side filters</t>
        </is>
      </c>
      <c r="F31" s="5" t="inlineStr">
        <is>
          <t>Multiple filters, chips, API-driven, state kept in URL</t>
        </is>
      </c>
      <c r="G31" s="5" t="inlineStr">
        <is>
          <t>Advanced operators, saved filters, nested groups</t>
        </is>
      </c>
      <c r="H31" s="43" t="n">
        <v>4</v>
      </c>
      <c r="I31" s="43" t="n">
        <v>12</v>
      </c>
      <c r="J31" s="43" t="n">
        <v>24</v>
      </c>
      <c r="K31" s="22">
        <f>H31*(1-Assumptions!$B$5)</f>
        <v/>
      </c>
      <c r="L31" s="22">
        <f>I31*(1-Assumptions!$B$5)</f>
        <v/>
      </c>
      <c r="M31" s="22">
        <f>J31*(1-Assumptions!$B$5)</f>
        <v/>
      </c>
    </row>
    <row r="32">
      <c r="A32" s="5" t="inlineStr">
        <is>
          <t>Charts &amp; Dashboards</t>
        </is>
      </c>
      <c r="B32" s="28" t="inlineStr">
        <is>
          <t>UI</t>
        </is>
      </c>
      <c r="C32" s="4" t="inlineStr">
        <is>
          <t>Standard chart (bar, line, area, pie)</t>
        </is>
      </c>
      <c r="D32" s="5" t="inlineStr">
        <is>
          <t>per chart</t>
        </is>
      </c>
      <c r="E32" s="5" t="inlineStr">
        <is>
          <t>Single series, one API or static data, default tooltip</t>
        </is>
      </c>
      <c r="F32" s="5" t="inlineStr">
        <is>
          <t>Multiple series, legend toggle, axis formatting</t>
        </is>
      </c>
      <c r="G32" s="5" t="inlineStr">
        <is>
          <t>Dual-axis / combo, annotations, zoom, real-time updates</t>
        </is>
      </c>
      <c r="H32" s="43" t="n">
        <v>4</v>
      </c>
      <c r="I32" s="43" t="n">
        <v>10</v>
      </c>
      <c r="J32" s="43" t="n">
        <v>20</v>
      </c>
      <c r="K32" s="22">
        <f>H32*(1-Assumptions!$B$5)</f>
        <v/>
      </c>
      <c r="L32" s="22">
        <f>I32*(1-Assumptions!$B$5)</f>
        <v/>
      </c>
      <c r="M32" s="22">
        <f>J32*(1-Assumptions!$B$5)</f>
        <v/>
      </c>
    </row>
    <row r="33">
      <c r="A33" s="5" t="inlineStr">
        <is>
          <t>Charts &amp; Dashboards</t>
        </is>
      </c>
      <c r="B33" s="28" t="inlineStr">
        <is>
          <t>UI</t>
        </is>
      </c>
      <c r="C33" s="4" t="inlineStr">
        <is>
          <t>Specialised chart (funnel, gauge, heatmap, scatter)</t>
        </is>
      </c>
      <c r="D33" s="5" t="inlineStr">
        <is>
          <t>per chart</t>
        </is>
      </c>
      <c r="E33" s="5" t="inlineStr">
        <is>
          <t>Library default, single data set</t>
        </is>
      </c>
      <c r="F33" s="5" t="inlineStr">
        <is>
          <t>Custom styling, thresholds, interactions</t>
        </is>
      </c>
      <c r="G33" s="5" t="inlineStr">
        <is>
          <t>Custom rendering, large data, linked charts</t>
        </is>
      </c>
      <c r="H33" s="43" t="n">
        <v>6</v>
      </c>
      <c r="I33" s="43" t="n">
        <v>14</v>
      </c>
      <c r="J33" s="43" t="n">
        <v>28</v>
      </c>
      <c r="K33" s="22">
        <f>H33*(1-Assumptions!$B$5)</f>
        <v/>
      </c>
      <c r="L33" s="22">
        <f>I33*(1-Assumptions!$B$5)</f>
        <v/>
      </c>
      <c r="M33" s="22">
        <f>J33*(1-Assumptions!$B$5)</f>
        <v/>
      </c>
    </row>
    <row r="34">
      <c r="A34" s="5" t="inlineStr">
        <is>
          <t>Charts &amp; Dashboards</t>
        </is>
      </c>
      <c r="B34" s="28" t="inlineStr">
        <is>
          <t>UI</t>
        </is>
      </c>
      <c r="C34" s="4" t="inlineStr">
        <is>
          <t>Dashboard layout &amp; global filters</t>
        </is>
      </c>
      <c r="D34" s="5" t="inlineStr">
        <is>
          <t>per dashboard</t>
        </is>
      </c>
      <c r="E34" s="5" t="inlineStr">
        <is>
          <t>Fixed widget grid</t>
        </is>
      </c>
      <c r="F34" s="5" t="inlineStr">
        <is>
          <t>Responsive grid with shared date/filter state</t>
        </is>
      </c>
      <c r="G34" s="5" t="inlineStr">
        <is>
          <t>User-customisable widgets (drag, resize, saved layouts)</t>
        </is>
      </c>
      <c r="H34" s="43" t="n">
        <v>6</v>
      </c>
      <c r="I34" s="43" t="n">
        <v>14</v>
      </c>
      <c r="J34" s="43" t="n">
        <v>32</v>
      </c>
      <c r="K34" s="22">
        <f>H34*(1-Assumptions!$B$5)</f>
        <v/>
      </c>
      <c r="L34" s="22">
        <f>I34*(1-Assumptions!$B$5)</f>
        <v/>
      </c>
      <c r="M34" s="22">
        <f>J34*(1-Assumptions!$B$5)</f>
        <v/>
      </c>
    </row>
    <row r="35">
      <c r="A35" s="5" t="inlineStr">
        <is>
          <t>Charts &amp; Dashboards</t>
        </is>
      </c>
      <c r="B35" s="28" t="inlineStr">
        <is>
          <t>UI</t>
        </is>
      </c>
      <c r="C35" s="4" t="inlineStr">
        <is>
          <t>Pivot / cross-tab table</t>
        </is>
      </c>
      <c r="D35" s="5" t="inlineStr">
        <is>
          <t>per table</t>
        </is>
      </c>
      <c r="E35" s="5" t="inlineStr">
        <is>
          <t>Fixed aggregation</t>
        </is>
      </c>
      <c r="F35" s="5" t="inlineStr">
        <is>
          <t>User-selectable dimensions</t>
        </is>
      </c>
      <c r="G35" s="5" t="inlineStr">
        <is>
          <t>Drag-to-configure, subtotals, drill-down</t>
        </is>
      </c>
      <c r="H35" s="43" t="n">
        <v>12</v>
      </c>
      <c r="I35" s="43" t="n">
        <v>24</v>
      </c>
      <c r="J35" s="43" t="n">
        <v>40</v>
      </c>
      <c r="K35" s="22">
        <f>H35*(1-Assumptions!$B$5)</f>
        <v/>
      </c>
      <c r="L35" s="22">
        <f>I35*(1-Assumptions!$B$5)</f>
        <v/>
      </c>
      <c r="M35" s="22">
        <f>J35*(1-Assumptions!$B$5)</f>
        <v/>
      </c>
    </row>
    <row r="36">
      <c r="A36" s="5" t="inlineStr">
        <is>
          <t>Charts &amp; Dashboards</t>
        </is>
      </c>
      <c r="B36" s="28" t="inlineStr">
        <is>
          <t>UI</t>
        </is>
      </c>
      <c r="C36" s="4" t="inlineStr">
        <is>
          <t>Drill-down interaction</t>
        </is>
      </c>
      <c r="D36" s="5" t="inlineStr">
        <is>
          <t>per interaction</t>
        </is>
      </c>
      <c r="E36" s="5" t="inlineStr">
        <is>
          <t>Click opens a detail modal</t>
        </is>
      </c>
      <c r="F36" s="5" t="inlineStr">
        <is>
          <t>Click navigates to a page with context</t>
        </is>
      </c>
      <c r="G36" s="5" t="inlineStr">
        <is>
          <t>Multi-level drill with breadcrumb trail</t>
        </is>
      </c>
      <c r="H36" s="43" t="n">
        <v>4</v>
      </c>
      <c r="I36" s="43" t="n">
        <v>10</v>
      </c>
      <c r="J36" s="43" t="n">
        <v>20</v>
      </c>
      <c r="K36" s="22">
        <f>H36*(1-Assumptions!$B$5)</f>
        <v/>
      </c>
      <c r="L36" s="22">
        <f>I36*(1-Assumptions!$B$5)</f>
        <v/>
      </c>
      <c r="M36" s="22">
        <f>J36*(1-Assumptions!$B$5)</f>
        <v/>
      </c>
    </row>
    <row r="37">
      <c r="A37" s="5" t="inlineStr">
        <is>
          <t>Overlays &amp; Feedback</t>
        </is>
      </c>
      <c r="B37" s="28" t="inlineStr">
        <is>
          <t>UI</t>
        </is>
      </c>
      <c r="C37" s="4" t="inlineStr">
        <is>
          <t>Modal / dialog</t>
        </is>
      </c>
      <c r="D37" s="5" t="inlineStr">
        <is>
          <t>per dialog</t>
        </is>
      </c>
      <c r="E37" s="5" t="inlineStr">
        <is>
          <t>Confirm or info message</t>
        </is>
      </c>
      <c r="F37" s="5" t="inlineStr">
        <is>
          <t>Content or form with loading/error states</t>
        </is>
      </c>
      <c r="G37" s="5" t="inlineStr">
        <is>
          <t>Nested or multi-step dialog</t>
        </is>
      </c>
      <c r="H37" s="43" t="n">
        <v>2</v>
      </c>
      <c r="I37" s="43" t="n">
        <v>5</v>
      </c>
      <c r="J37" s="43" t="n">
        <v>12</v>
      </c>
      <c r="K37" s="22">
        <f>H37*(1-Assumptions!$B$5)</f>
        <v/>
      </c>
      <c r="L37" s="22">
        <f>I37*(1-Assumptions!$B$5)</f>
        <v/>
      </c>
      <c r="M37" s="22">
        <f>J37*(1-Assumptions!$B$5)</f>
        <v/>
      </c>
    </row>
    <row r="38">
      <c r="A38" s="5" t="inlineStr">
        <is>
          <t>Overlays &amp; Feedback</t>
        </is>
      </c>
      <c r="B38" s="28" t="inlineStr">
        <is>
          <t>UI</t>
        </is>
      </c>
      <c r="C38" s="4" t="inlineStr">
        <is>
          <t>Drawer / side panel</t>
        </is>
      </c>
      <c r="D38" s="5" t="inlineStr">
        <is>
          <t>per panel</t>
        </is>
      </c>
      <c r="E38" s="5" t="inlineStr">
        <is>
          <t>Static content</t>
        </is>
      </c>
      <c r="F38" s="5" t="inlineStr">
        <is>
          <t>Form or detail view backed by an API</t>
        </is>
      </c>
      <c r="G38" s="5" t="inlineStr">
        <is>
          <t>Resizable, nested, stateful panel</t>
        </is>
      </c>
      <c r="H38" s="43" t="n">
        <v>3</v>
      </c>
      <c r="I38" s="43" t="n">
        <v>8</v>
      </c>
      <c r="J38" s="43" t="n">
        <v>16</v>
      </c>
      <c r="K38" s="22">
        <f>H38*(1-Assumptions!$B$5)</f>
        <v/>
      </c>
      <c r="L38" s="22">
        <f>I38*(1-Assumptions!$B$5)</f>
        <v/>
      </c>
      <c r="M38" s="22">
        <f>J38*(1-Assumptions!$B$5)</f>
        <v/>
      </c>
    </row>
    <row r="39">
      <c r="A39" s="5" t="inlineStr">
        <is>
          <t>Overlays &amp; Feedback</t>
        </is>
      </c>
      <c r="B39" s="28" t="inlineStr">
        <is>
          <t>UI</t>
        </is>
      </c>
      <c r="C39" s="4" t="inlineStr">
        <is>
          <t>Toast, alert &amp; banner notifications</t>
        </is>
      </c>
      <c r="D39" s="5" t="inlineStr">
        <is>
          <t>per application</t>
        </is>
      </c>
      <c r="E39" s="5" t="inlineStr">
        <is>
          <t>Basic toasts</t>
        </is>
      </c>
      <c r="F39" s="5" t="inlineStr">
        <is>
          <t>Variants, queue, auto-dismiss</t>
        </is>
      </c>
      <c r="G39" s="5" t="inlineStr">
        <is>
          <t>Notification centre with persistence</t>
        </is>
      </c>
      <c r="H39" s="43" t="n">
        <v>2</v>
      </c>
      <c r="I39" s="43" t="n">
        <v>5</v>
      </c>
      <c r="J39" s="43" t="n">
        <v>12</v>
      </c>
      <c r="K39" s="22">
        <f>H39*(1-Assumptions!$B$5)</f>
        <v/>
      </c>
      <c r="L39" s="22">
        <f>I39*(1-Assumptions!$B$5)</f>
        <v/>
      </c>
      <c r="M39" s="22">
        <f>J39*(1-Assumptions!$B$5)</f>
        <v/>
      </c>
    </row>
    <row r="40">
      <c r="A40" s="5" t="inlineStr">
        <is>
          <t>Overlays &amp; Feedback</t>
        </is>
      </c>
      <c r="B40" s="28" t="inlineStr">
        <is>
          <t>UI</t>
        </is>
      </c>
      <c r="C40" s="4" t="inlineStr">
        <is>
          <t>Progress &amp; job status</t>
        </is>
      </c>
      <c r="D40" s="5" t="inlineStr">
        <is>
          <t>per feature</t>
        </is>
      </c>
      <c r="E40" s="5" t="inlineStr">
        <is>
          <t>Spinner or progress bar</t>
        </is>
      </c>
      <c r="F40" s="5" t="inlineStr">
        <is>
          <t>Polled job status</t>
        </is>
      </c>
      <c r="G40" s="5" t="inlineStr">
        <is>
          <t>Real-time progress with cancel and retry</t>
        </is>
      </c>
      <c r="H40" s="43" t="n">
        <v>3</v>
      </c>
      <c r="I40" s="43" t="n">
        <v>8</v>
      </c>
      <c r="J40" s="43" t="n">
        <v>16</v>
      </c>
      <c r="K40" s="22">
        <f>H40*(1-Assumptions!$B$5)</f>
        <v/>
      </c>
      <c r="L40" s="22">
        <f>I40*(1-Assumptions!$B$5)</f>
        <v/>
      </c>
      <c r="M40" s="22">
        <f>J40*(1-Assumptions!$B$5)</f>
        <v/>
      </c>
    </row>
    <row r="41">
      <c r="A41" s="5" t="inlineStr">
        <is>
          <t>AI &amp; Conversational UI</t>
        </is>
      </c>
      <c r="B41" s="28" t="inlineStr">
        <is>
          <t>UI</t>
        </is>
      </c>
      <c r="C41" s="4" t="inlineStr">
        <is>
          <t>Chat interface</t>
        </is>
      </c>
      <c r="D41" s="5" t="inlineStr">
        <is>
          <t>per chat</t>
        </is>
      </c>
      <c r="E41" s="5" t="inlineStr">
        <is>
          <t>Message list + input, request/response (no streaming)</t>
        </is>
      </c>
      <c r="F41" s="5" t="inlineStr">
        <is>
          <t>Streaming responses, markdown rendering, history, typing indicator</t>
        </is>
      </c>
      <c r="G41" s="5" t="inlineStr">
        <is>
          <t>Attachments, tool-call display, multi-session, feedback</t>
        </is>
      </c>
      <c r="H41" s="43" t="n">
        <v>16</v>
      </c>
      <c r="I41" s="43" t="n">
        <v>30</v>
      </c>
      <c r="J41" s="43" t="n">
        <v>48</v>
      </c>
      <c r="K41" s="22">
        <f>H41*(1-Assumptions!$B$5)</f>
        <v/>
      </c>
      <c r="L41" s="22">
        <f>I41*(1-Assumptions!$B$5)</f>
        <v/>
      </c>
      <c r="M41" s="22">
        <f>J41*(1-Assumptions!$B$5)</f>
        <v/>
      </c>
    </row>
    <row r="42">
      <c r="A42" s="5" t="inlineStr">
        <is>
          <t>AI &amp; Conversational UI</t>
        </is>
      </c>
      <c r="B42" s="28" t="inlineStr">
        <is>
          <t>UI</t>
        </is>
      </c>
      <c r="C42" s="4" t="inlineStr">
        <is>
          <t>Citations &amp; sources panel</t>
        </is>
      </c>
      <c r="D42" s="5" t="inlineStr">
        <is>
          <t>per panel</t>
        </is>
      </c>
      <c r="E42" s="5" t="inlineStr">
        <is>
          <t>List of source links</t>
        </is>
      </c>
      <c r="F42" s="5" t="inlineStr">
        <is>
          <t>Source cards with previews</t>
        </is>
      </c>
      <c r="G42" s="5" t="inlineStr">
        <is>
          <t>Inline citation linking, highlight in source document</t>
        </is>
      </c>
      <c r="H42" s="43" t="n">
        <v>4</v>
      </c>
      <c r="I42" s="43" t="n">
        <v>10</v>
      </c>
      <c r="J42" s="43" t="n">
        <v>20</v>
      </c>
      <c r="K42" s="22">
        <f>H42*(1-Assumptions!$B$5)</f>
        <v/>
      </c>
      <c r="L42" s="22">
        <f>I42*(1-Assumptions!$B$5)</f>
        <v/>
      </c>
      <c r="M42" s="22">
        <f>J42*(1-Assumptions!$B$5)</f>
        <v/>
      </c>
    </row>
    <row r="43">
      <c r="A43" s="5" t="inlineStr">
        <is>
          <t>AI &amp; Conversational UI</t>
        </is>
      </c>
      <c r="B43" s="28" t="inlineStr">
        <is>
          <t>UI</t>
        </is>
      </c>
      <c r="C43" s="4" t="inlineStr">
        <is>
          <t>Agent run / tool-call timeline</t>
        </is>
      </c>
      <c r="D43" s="5" t="inlineStr">
        <is>
          <t>per view</t>
        </is>
      </c>
      <c r="E43" s="5" t="inlineStr">
        <is>
          <t>Static step list</t>
        </is>
      </c>
      <c r="F43" s="5" t="inlineStr">
        <is>
          <t>Live step status</t>
        </is>
      </c>
      <c r="G43" s="5" t="inlineStr">
        <is>
          <t>Expandable inputs/outputs, retry, step-level actions</t>
        </is>
      </c>
      <c r="H43" s="43" t="n">
        <v>8</v>
      </c>
      <c r="I43" s="43" t="n">
        <v>16</v>
      </c>
      <c r="J43" s="43" t="n">
        <v>28</v>
      </c>
      <c r="K43" s="22">
        <f>H43*(1-Assumptions!$B$5)</f>
        <v/>
      </c>
      <c r="L43" s="22">
        <f>I43*(1-Assumptions!$B$5)</f>
        <v/>
      </c>
      <c r="M43" s="22">
        <f>J43*(1-Assumptions!$B$5)</f>
        <v/>
      </c>
    </row>
    <row r="44">
      <c r="A44" s="5" t="inlineStr">
        <is>
          <t>AI &amp; Conversational UI</t>
        </is>
      </c>
      <c r="B44" s="28" t="inlineStr">
        <is>
          <t>UI</t>
        </is>
      </c>
      <c r="C44" s="4" t="inlineStr">
        <is>
          <t>Human-in-the-loop approval</t>
        </is>
      </c>
      <c r="D44" s="5" t="inlineStr">
        <is>
          <t>per flow</t>
        </is>
      </c>
      <c r="E44" s="5" t="inlineStr">
        <is>
          <t>Approve / reject buttons</t>
        </is>
      </c>
      <c r="F44" s="5" t="inlineStr">
        <is>
          <t>Comments and audit trail</t>
        </is>
      </c>
      <c r="G44" s="5" t="inlineStr">
        <is>
          <t>Multi-approver, escalation, diff view</t>
        </is>
      </c>
      <c r="H44" s="43" t="n">
        <v>6</v>
      </c>
      <c r="I44" s="43" t="n">
        <v>14</v>
      </c>
      <c r="J44" s="43" t="n">
        <v>24</v>
      </c>
      <c r="K44" s="22">
        <f>H44*(1-Assumptions!$B$5)</f>
        <v/>
      </c>
      <c r="L44" s="22">
        <f>I44*(1-Assumptions!$B$5)</f>
        <v/>
      </c>
      <c r="M44" s="22">
        <f>J44*(1-Assumptions!$B$5)</f>
        <v/>
      </c>
    </row>
    <row r="45">
      <c r="A45" s="5" t="inlineStr">
        <is>
          <t>AI &amp; Conversational UI</t>
        </is>
      </c>
      <c r="B45" s="28" t="inlineStr">
        <is>
          <t>UI</t>
        </is>
      </c>
      <c r="C45" s="4" t="inlineStr">
        <is>
          <t>AI feedback &amp; suggested prompts</t>
        </is>
      </c>
      <c r="D45" s="5" t="inlineStr">
        <is>
          <t>per feature</t>
        </is>
      </c>
      <c r="E45" s="5" t="inlineStr">
        <is>
          <t>Static prompt chips</t>
        </is>
      </c>
      <c r="F45" s="5" t="inlineStr">
        <is>
          <t>Thumbs up/down with reason, dynamic prompts</t>
        </is>
      </c>
      <c r="G45" s="5" t="inlineStr">
        <is>
          <t>Feedback analytics hooks, personalised suggestions</t>
        </is>
      </c>
      <c r="H45" s="43" t="n">
        <v>3</v>
      </c>
      <c r="I45" s="43" t="n">
        <v>8</v>
      </c>
      <c r="J45" s="43" t="n">
        <v>14</v>
      </c>
      <c r="K45" s="22">
        <f>H45*(1-Assumptions!$B$5)</f>
        <v/>
      </c>
      <c r="L45" s="22">
        <f>I45*(1-Assumptions!$B$5)</f>
        <v/>
      </c>
      <c r="M45" s="22">
        <f>J45*(1-Assumptions!$B$5)</f>
        <v/>
      </c>
    </row>
    <row r="46">
      <c r="A46" s="5" t="inlineStr">
        <is>
          <t>AI &amp; Conversational UI</t>
        </is>
      </c>
      <c r="B46" s="28" t="inlineStr">
        <is>
          <t>UI</t>
        </is>
      </c>
      <c r="C46" s="4" t="inlineStr">
        <is>
          <t>AI structured-output renderer</t>
        </is>
      </c>
      <c r="D46" s="5" t="inlineStr">
        <is>
          <t>per renderer</t>
        </is>
      </c>
      <c r="E46" s="5" t="inlineStr">
        <is>
          <t>Renders one fixed JSON shape</t>
        </is>
      </c>
      <c r="F46" s="5" t="inlineStr">
        <is>
          <t>Several shapes (cards, tables)</t>
        </is>
      </c>
      <c r="G46" s="5" t="inlineStr">
        <is>
          <t>Dynamic schema-driven rendering with interactivity</t>
        </is>
      </c>
      <c r="H46" s="43" t="n">
        <v>8</v>
      </c>
      <c r="I46" s="43" t="n">
        <v>16</v>
      </c>
      <c r="J46" s="43" t="n">
        <v>28</v>
      </c>
      <c r="K46" s="22">
        <f>H46*(1-Assumptions!$B$5)</f>
        <v/>
      </c>
      <c r="L46" s="22">
        <f>I46*(1-Assumptions!$B$5)</f>
        <v/>
      </c>
      <c r="M46" s="22">
        <f>J46*(1-Assumptions!$B$5)</f>
        <v/>
      </c>
    </row>
    <row r="47">
      <c r="A47" s="5" t="inlineStr">
        <is>
          <t>Files &amp; Reporting</t>
        </is>
      </c>
      <c r="B47" s="28" t="inlineStr">
        <is>
          <t>UI</t>
        </is>
      </c>
      <c r="C47" s="4" t="inlineStr">
        <is>
          <t>Data export (CSV / Excel)</t>
        </is>
      </c>
      <c r="D47" s="5" t="inlineStr">
        <is>
          <t>per export</t>
        </is>
      </c>
      <c r="E47" s="5" t="inlineStr">
        <is>
          <t>Client-side CSV</t>
        </is>
      </c>
      <c r="F47" s="5" t="inlineStr">
        <is>
          <t>Formatted Excel, server-triggered</t>
        </is>
      </c>
      <c r="G47" s="5" t="inlineStr">
        <is>
          <t>Large asynchronous export with status and download list</t>
        </is>
      </c>
      <c r="H47" s="43" t="n">
        <v>4</v>
      </c>
      <c r="I47" s="43" t="n">
        <v>10</v>
      </c>
      <c r="J47" s="43" t="n">
        <v>20</v>
      </c>
      <c r="K47" s="22">
        <f>H47*(1-Assumptions!$B$5)</f>
        <v/>
      </c>
      <c r="L47" s="22">
        <f>I47*(1-Assumptions!$B$5)</f>
        <v/>
      </c>
      <c r="M47" s="22">
        <f>J47*(1-Assumptions!$B$5)</f>
        <v/>
      </c>
    </row>
    <row r="48">
      <c r="A48" s="5" t="inlineStr">
        <is>
          <t>Files &amp; Reporting</t>
        </is>
      </c>
      <c r="B48" s="28" t="inlineStr">
        <is>
          <t>UI</t>
        </is>
      </c>
      <c r="C48" s="4" t="inlineStr">
        <is>
          <t>PDF / printable report</t>
        </is>
      </c>
      <c r="D48" s="5" t="inlineStr">
        <is>
          <t>per report</t>
        </is>
      </c>
      <c r="E48" s="5" t="inlineStr">
        <is>
          <t>Print-friendly stylesheet</t>
        </is>
      </c>
      <c r="F48" s="5" t="inlineStr">
        <is>
          <t>Templated PDF export</t>
        </is>
      </c>
      <c r="G48" s="5" t="inlineStr">
        <is>
          <t>Multi-section branded report with charts</t>
        </is>
      </c>
      <c r="H48" s="43" t="n">
        <v>8</v>
      </c>
      <c r="I48" s="43" t="n">
        <v>20</v>
      </c>
      <c r="J48" s="43" t="n">
        <v>40</v>
      </c>
      <c r="K48" s="22">
        <f>H48*(1-Assumptions!$B$5)</f>
        <v/>
      </c>
      <c r="L48" s="22">
        <f>I48*(1-Assumptions!$B$5)</f>
        <v/>
      </c>
      <c r="M48" s="22">
        <f>J48*(1-Assumptions!$B$5)</f>
        <v/>
      </c>
    </row>
    <row r="49">
      <c r="A49" s="5" t="inlineStr">
        <is>
          <t>Files &amp; Reporting</t>
        </is>
      </c>
      <c r="B49" s="28" t="inlineStr">
        <is>
          <t>UI</t>
        </is>
      </c>
      <c r="C49" s="4" t="inlineStr">
        <is>
          <t>Document / file viewer</t>
        </is>
      </c>
      <c r="D49" s="5" t="inlineStr">
        <is>
          <t>per viewer</t>
        </is>
      </c>
      <c r="E49" s="5" t="inlineStr">
        <is>
          <t>Single image or file preview</t>
        </is>
      </c>
      <c r="F49" s="5" t="inlineStr">
        <is>
          <t>PDF/image viewer with zoom and paging</t>
        </is>
      </c>
      <c r="G49" s="5" t="inlineStr">
        <is>
          <t>Multi-format, annotations, large files</t>
        </is>
      </c>
      <c r="H49" s="43" t="n">
        <v>6</v>
      </c>
      <c r="I49" s="43" t="n">
        <v>12</v>
      </c>
      <c r="J49" s="43" t="n">
        <v>24</v>
      </c>
      <c r="K49" s="22">
        <f>H49*(1-Assumptions!$B$5)</f>
        <v/>
      </c>
      <c r="L49" s="22">
        <f>I49*(1-Assumptions!$B$5)</f>
        <v/>
      </c>
      <c r="M49" s="22">
        <f>J49*(1-Assumptions!$B$5)</f>
        <v/>
      </c>
    </row>
    <row r="50">
      <c r="A50" s="5" t="inlineStr">
        <is>
          <t>Auth &amp; Access</t>
        </is>
      </c>
      <c r="B50" s="28" t="inlineStr">
        <is>
          <t>UI</t>
        </is>
      </c>
      <c r="C50" s="4" t="inlineStr">
        <is>
          <t>Login screen</t>
        </is>
      </c>
      <c r="D50" s="5" t="inlineStr">
        <is>
          <t>per application</t>
        </is>
      </c>
      <c r="E50" s="5" t="inlineStr">
        <is>
          <t>Username/password form, token handling</t>
        </is>
      </c>
      <c r="F50" s="5" t="inlineStr">
        <is>
          <t>Adds SSO redirect, remember-me, error states</t>
        </is>
      </c>
      <c r="G50" s="5" t="inlineStr">
        <is>
          <t>MFA, multiple identity providers, lockout flows</t>
        </is>
      </c>
      <c r="H50" s="43" t="n">
        <v>6</v>
      </c>
      <c r="I50" s="43" t="n">
        <v>12</v>
      </c>
      <c r="J50" s="43" t="n">
        <v>24</v>
      </c>
      <c r="K50" s="22">
        <f>H50*(1-Assumptions!$B$5)</f>
        <v/>
      </c>
      <c r="L50" s="22">
        <f>I50*(1-Assumptions!$B$5)</f>
        <v/>
      </c>
      <c r="M50" s="22">
        <f>J50*(1-Assumptions!$B$5)</f>
        <v/>
      </c>
    </row>
    <row r="51">
      <c r="A51" s="5" t="inlineStr">
        <is>
          <t>Auth &amp; Access</t>
        </is>
      </c>
      <c r="B51" s="28" t="inlineStr">
        <is>
          <t>UI</t>
        </is>
      </c>
      <c r="C51" s="4" t="inlineStr">
        <is>
          <t>Password reset &amp; account flows</t>
        </is>
      </c>
      <c r="D51" s="5" t="inlineStr">
        <is>
          <t>per application</t>
        </is>
      </c>
      <c r="E51" s="5" t="inlineStr">
        <is>
          <t>Reset request form</t>
        </is>
      </c>
      <c r="F51" s="5" t="inlineStr">
        <is>
          <t>Reset, verify and change-password flow</t>
        </is>
      </c>
      <c r="G51" s="5" t="inlineStr">
        <is>
          <t>Invite, MFA enrolment, account recovery</t>
        </is>
      </c>
      <c r="H51" s="43" t="n">
        <v>6</v>
      </c>
      <c r="I51" s="43" t="n">
        <v>12</v>
      </c>
      <c r="J51" s="43" t="n">
        <v>20</v>
      </c>
      <c r="K51" s="22">
        <f>H51*(1-Assumptions!$B$5)</f>
        <v/>
      </c>
      <c r="L51" s="22">
        <f>I51*(1-Assumptions!$B$5)</f>
        <v/>
      </c>
      <c r="M51" s="22">
        <f>J51*(1-Assumptions!$B$5)</f>
        <v/>
      </c>
    </row>
    <row r="52">
      <c r="A52" s="5" t="inlineStr">
        <is>
          <t>Auth &amp; Access</t>
        </is>
      </c>
      <c r="B52" s="28" t="inlineStr">
        <is>
          <t>UI</t>
        </is>
      </c>
      <c r="C52" s="4" t="inlineStr">
        <is>
          <t>Role-based UI rendering</t>
        </is>
      </c>
      <c r="D52" s="5" t="inlineStr">
        <is>
          <t>per application</t>
        </is>
      </c>
      <c r="E52" s="5" t="inlineStr">
        <is>
          <t>Single role guard</t>
        </is>
      </c>
      <c r="F52" s="5" t="inlineStr">
        <is>
          <t>Multiple roles, permission-driven menus and buttons</t>
        </is>
      </c>
      <c r="G52" s="5" t="inlineStr">
        <is>
          <t>Fine-grained dynamic permissions</t>
        </is>
      </c>
      <c r="H52" s="43" t="n">
        <v>4</v>
      </c>
      <c r="I52" s="43" t="n">
        <v>12</v>
      </c>
      <c r="J52" s="43" t="n">
        <v>24</v>
      </c>
      <c r="K52" s="22">
        <f>H52*(1-Assumptions!$B$5)</f>
        <v/>
      </c>
      <c r="L52" s="22">
        <f>I52*(1-Assumptions!$B$5)</f>
        <v/>
      </c>
      <c r="M52" s="22">
        <f>J52*(1-Assumptions!$B$5)</f>
        <v/>
      </c>
    </row>
    <row r="53">
      <c r="A53" s="5" t="inlineStr">
        <is>
          <t>Auth &amp; Access</t>
        </is>
      </c>
      <c r="B53" s="28" t="inlineStr">
        <is>
          <t>UI</t>
        </is>
      </c>
      <c r="C53" s="4" t="inlineStr">
        <is>
          <t>Session handling</t>
        </is>
      </c>
      <c r="D53" s="5" t="inlineStr">
        <is>
          <t>per application</t>
        </is>
      </c>
      <c r="E53" s="5" t="inlineStr">
        <is>
          <t>Logout on expiry</t>
        </is>
      </c>
      <c r="F53" s="5" t="inlineStr">
        <is>
          <t>Token refresh, timeout warning</t>
        </is>
      </c>
      <c r="G53" s="5" t="inlineStr">
        <is>
          <t>Multi-tab sync, silent re-authentication</t>
        </is>
      </c>
      <c r="H53" s="43" t="n">
        <v>4</v>
      </c>
      <c r="I53" s="43" t="n">
        <v>8</v>
      </c>
      <c r="J53" s="43" t="n">
        <v>16</v>
      </c>
      <c r="K53" s="22">
        <f>H53*(1-Assumptions!$B$5)</f>
        <v/>
      </c>
      <c r="L53" s="22">
        <f>I53*(1-Assumptions!$B$5)</f>
        <v/>
      </c>
      <c r="M53" s="22">
        <f>J53*(1-Assumptions!$B$5)</f>
        <v/>
      </c>
    </row>
    <row r="54">
      <c r="A54" s="5" t="inlineStr">
        <is>
          <t>Admin &amp; Enterprise</t>
        </is>
      </c>
      <c r="B54" s="28" t="inlineStr">
        <is>
          <t>UI</t>
        </is>
      </c>
      <c r="C54" s="4" t="inlineStr">
        <is>
          <t>User &amp; role management</t>
        </is>
      </c>
      <c r="D54" s="5" t="inlineStr">
        <is>
          <t>per module</t>
        </is>
      </c>
      <c r="E54" s="5" t="inlineStr">
        <is>
          <t>List users, assign a role</t>
        </is>
      </c>
      <c r="F54" s="5" t="inlineStr">
        <is>
          <t>Invite, deactivate, search, assign roles</t>
        </is>
      </c>
      <c r="G54" s="5" t="inlineStr">
        <is>
          <t>Bulk operations, delegated administration, audit hooks</t>
        </is>
      </c>
      <c r="H54" s="43" t="n">
        <v>12</v>
      </c>
      <c r="I54" s="43" t="n">
        <v>24</v>
      </c>
      <c r="J54" s="43" t="n">
        <v>40</v>
      </c>
      <c r="K54" s="22">
        <f>H54*(1-Assumptions!$B$5)</f>
        <v/>
      </c>
      <c r="L54" s="22">
        <f>I54*(1-Assumptions!$B$5)</f>
        <v/>
      </c>
      <c r="M54" s="22">
        <f>J54*(1-Assumptions!$B$5)</f>
        <v/>
      </c>
    </row>
    <row r="55">
      <c r="A55" s="5" t="inlineStr">
        <is>
          <t>Admin &amp; Enterprise</t>
        </is>
      </c>
      <c r="B55" s="28" t="inlineStr">
        <is>
          <t>UI</t>
        </is>
      </c>
      <c r="C55" s="4" t="inlineStr">
        <is>
          <t>Role &amp; permission editor</t>
        </is>
      </c>
      <c r="D55" s="5" t="inlineStr">
        <is>
          <t>per editor</t>
        </is>
      </c>
      <c r="E55" s="5" t="inlineStr">
        <is>
          <t>Role list with checkboxes</t>
        </is>
      </c>
      <c r="F55" s="5" t="inlineStr">
        <is>
          <t>Grouped permissions</t>
        </is>
      </c>
      <c r="G55" s="5" t="inlineStr">
        <is>
          <t>Matrix or tree editor with inheritance</t>
        </is>
      </c>
      <c r="H55" s="43" t="n">
        <v>12</v>
      </c>
      <c r="I55" s="43" t="n">
        <v>20</v>
      </c>
      <c r="J55" s="43" t="n">
        <v>32</v>
      </c>
      <c r="K55" s="22">
        <f>H55*(1-Assumptions!$B$5)</f>
        <v/>
      </c>
      <c r="L55" s="22">
        <f>I55*(1-Assumptions!$B$5)</f>
        <v/>
      </c>
      <c r="M55" s="22">
        <f>J55*(1-Assumptions!$B$5)</f>
        <v/>
      </c>
    </row>
    <row r="56">
      <c r="A56" s="5" t="inlineStr">
        <is>
          <t>Admin &amp; Enterprise</t>
        </is>
      </c>
      <c r="B56" s="28" t="inlineStr">
        <is>
          <t>UI</t>
        </is>
      </c>
      <c r="C56" s="4" t="inlineStr">
        <is>
          <t>Audit log viewer</t>
        </is>
      </c>
      <c r="D56" s="5" t="inlineStr">
        <is>
          <t>per viewer</t>
        </is>
      </c>
      <c r="E56" s="5" t="inlineStr">
        <is>
          <t>Read-only list</t>
        </is>
      </c>
      <c r="F56" s="5" t="inlineStr">
        <is>
          <t>Filter by user / date / action</t>
        </is>
      </c>
      <c r="G56" s="5" t="inlineStr">
        <is>
          <t>Change diff view, export, large volumes</t>
        </is>
      </c>
      <c r="H56" s="43" t="n">
        <v>6</v>
      </c>
      <c r="I56" s="43" t="n">
        <v>12</v>
      </c>
      <c r="J56" s="43" t="n">
        <v>24</v>
      </c>
      <c r="K56" s="22">
        <f>H56*(1-Assumptions!$B$5)</f>
        <v/>
      </c>
      <c r="L56" s="22">
        <f>I56*(1-Assumptions!$B$5)</f>
        <v/>
      </c>
      <c r="M56" s="22">
        <f>J56*(1-Assumptions!$B$5)</f>
        <v/>
      </c>
    </row>
    <row r="57">
      <c r="A57" s="5" t="inlineStr">
        <is>
          <t>Admin &amp; Enterprise</t>
        </is>
      </c>
      <c r="B57" s="28" t="inlineStr">
        <is>
          <t>UI</t>
        </is>
      </c>
      <c r="C57" s="4" t="inlineStr">
        <is>
          <t>Settings / preferences panel</t>
        </is>
      </c>
      <c r="D57" s="5" t="inlineStr">
        <is>
          <t>per panel</t>
        </is>
      </c>
      <c r="E57" s="5" t="inlineStr">
        <is>
          <t>A few toggles</t>
        </is>
      </c>
      <c r="F57" s="5" t="inlineStr">
        <is>
          <t>Grouped settings forms saved via API</t>
        </is>
      </c>
      <c r="G57" s="5" t="inlineStr">
        <is>
          <t>Per-tenant/user scoping, dependent validation</t>
        </is>
      </c>
      <c r="H57" s="43" t="n">
        <v>6</v>
      </c>
      <c r="I57" s="43" t="n">
        <v>14</v>
      </c>
      <c r="J57" s="43" t="n">
        <v>24</v>
      </c>
      <c r="K57" s="22">
        <f>H57*(1-Assumptions!$B$5)</f>
        <v/>
      </c>
      <c r="L57" s="22">
        <f>I57*(1-Assumptions!$B$5)</f>
        <v/>
      </c>
      <c r="M57" s="22">
        <f>J57*(1-Assumptions!$B$5)</f>
        <v/>
      </c>
    </row>
    <row r="58">
      <c r="A58" s="5" t="inlineStr">
        <is>
          <t>Backend API</t>
        </is>
      </c>
      <c r="B58" s="28" t="inlineStr">
        <is>
          <t>API</t>
        </is>
      </c>
      <c r="C58" s="4" t="inlineStr">
        <is>
          <t>CRUD endpoint</t>
        </is>
      </c>
      <c r="D58" s="5" t="inlineStr">
        <is>
          <t>per endpoint</t>
        </is>
      </c>
      <c r="E58" s="5" t="inlineStr">
        <is>
          <t>Single entity, basic validation</t>
        </is>
      </c>
      <c r="F58" s="5" t="inlineStr">
        <is>
          <t>Related entities, business-rule validation</t>
        </is>
      </c>
      <c r="G58" s="5" t="inlineStr">
        <is>
          <t>Complex rules, transactions, versioning</t>
        </is>
      </c>
      <c r="H58" s="43" t="n">
        <v>4</v>
      </c>
      <c r="I58" s="43" t="n">
        <v>8</v>
      </c>
      <c r="J58" s="43" t="n">
        <v>16</v>
      </c>
      <c r="K58" s="22">
        <f>H58*(1-Assumptions!$B$5)</f>
        <v/>
      </c>
      <c r="L58" s="22">
        <f>I58*(1-Assumptions!$B$5)</f>
        <v/>
      </c>
      <c r="M58" s="22">
        <f>J58*(1-Assumptions!$B$5)</f>
        <v/>
      </c>
    </row>
    <row r="59">
      <c r="A59" s="5" t="inlineStr">
        <is>
          <t>Backend API</t>
        </is>
      </c>
      <c r="B59" s="28" t="inlineStr">
        <is>
          <t>API</t>
        </is>
      </c>
      <c r="C59" s="4" t="inlineStr">
        <is>
          <t>List / search endpoint</t>
        </is>
      </c>
      <c r="D59" s="5" t="inlineStr">
        <is>
          <t>per endpoint</t>
        </is>
      </c>
      <c r="E59" s="5" t="inlineStr">
        <is>
          <t>Pagination only</t>
        </is>
      </c>
      <c r="F59" s="5" t="inlineStr">
        <is>
          <t>Filter, sort, pagination, search</t>
        </is>
      </c>
      <c r="G59" s="5" t="inlineStr">
        <is>
          <t>Full-text search, dynamic filters, aggregations</t>
        </is>
      </c>
      <c r="H59" s="43" t="n">
        <v>4</v>
      </c>
      <c r="I59" s="43" t="n">
        <v>10</v>
      </c>
      <c r="J59" s="43" t="n">
        <v>20</v>
      </c>
      <c r="K59" s="22">
        <f>H59*(1-Assumptions!$B$5)</f>
        <v/>
      </c>
      <c r="L59" s="22">
        <f>I59*(1-Assumptions!$B$5)</f>
        <v/>
      </c>
      <c r="M59" s="22">
        <f>J59*(1-Assumptions!$B$5)</f>
        <v/>
      </c>
    </row>
    <row r="60">
      <c r="A60" s="5" t="inlineStr">
        <is>
          <t>Backend API</t>
        </is>
      </c>
      <c r="B60" s="28" t="inlineStr">
        <is>
          <t>API</t>
        </is>
      </c>
      <c r="C60" s="4" t="inlineStr">
        <is>
          <t>Aggregation / analytics endpoint</t>
        </is>
      </c>
      <c r="D60" s="5" t="inlineStr">
        <is>
          <t>per endpoint</t>
        </is>
      </c>
      <c r="E60" s="5" t="inlineStr">
        <is>
          <t>One simple aggregate</t>
        </is>
      </c>
      <c r="F60" s="5" t="inlineStr">
        <is>
          <t>Multiple groupings and filters</t>
        </is>
      </c>
      <c r="G60" s="5" t="inlineStr">
        <is>
          <t>Multi-source, time-series, caching</t>
        </is>
      </c>
      <c r="H60" s="43" t="n">
        <v>8</v>
      </c>
      <c r="I60" s="43" t="n">
        <v>16</v>
      </c>
      <c r="J60" s="43" t="n">
        <v>32</v>
      </c>
      <c r="K60" s="22">
        <f>H60*(1-Assumptions!$B$5)</f>
        <v/>
      </c>
      <c r="L60" s="22">
        <f>I60*(1-Assumptions!$B$5)</f>
        <v/>
      </c>
      <c r="M60" s="22">
        <f>J60*(1-Assumptions!$B$5)</f>
        <v/>
      </c>
    </row>
    <row r="61">
      <c r="A61" s="5" t="inlineStr">
        <is>
          <t>Backend API</t>
        </is>
      </c>
      <c r="B61" s="28" t="inlineStr">
        <is>
          <t>API</t>
        </is>
      </c>
      <c r="C61" s="4" t="inlineStr">
        <is>
          <t>Authentication endpoint</t>
        </is>
      </c>
      <c r="D61" s="5" t="inlineStr">
        <is>
          <t>per service</t>
        </is>
      </c>
      <c r="E61" s="5" t="inlineStr">
        <is>
          <t>Credentials login + token issue</t>
        </is>
      </c>
      <c r="F61" s="5" t="inlineStr">
        <is>
          <t>Refresh, logout, SSO callback</t>
        </is>
      </c>
      <c r="G61" s="5" t="inlineStr">
        <is>
          <t>Multiple identity providers, MFA</t>
        </is>
      </c>
      <c r="H61" s="43" t="n">
        <v>8</v>
      </c>
      <c r="I61" s="43" t="n">
        <v>16</v>
      </c>
      <c r="J61" s="43" t="n">
        <v>32</v>
      </c>
      <c r="K61" s="22">
        <f>H61*(1-Assumptions!$B$5)</f>
        <v/>
      </c>
      <c r="L61" s="22">
        <f>I61*(1-Assumptions!$B$5)</f>
        <v/>
      </c>
      <c r="M61" s="22">
        <f>J61*(1-Assumptions!$B$5)</f>
        <v/>
      </c>
    </row>
    <row r="62">
      <c r="A62" s="5" t="inlineStr">
        <is>
          <t>Backend API</t>
        </is>
      </c>
      <c r="B62" s="28" t="inlineStr">
        <is>
          <t>API</t>
        </is>
      </c>
      <c r="C62" s="4" t="inlineStr">
        <is>
          <t>Authorisation / RBAC layer</t>
        </is>
      </c>
      <c r="D62" s="5" t="inlineStr">
        <is>
          <t>per service</t>
        </is>
      </c>
      <c r="E62" s="5" t="inlineStr">
        <is>
          <t>Single role check</t>
        </is>
      </c>
      <c r="F62" s="5" t="inlineStr">
        <is>
          <t>Role-based route guards</t>
        </is>
      </c>
      <c r="G62" s="5" t="inlineStr">
        <is>
          <t>Fine-grained policy engine</t>
        </is>
      </c>
      <c r="H62" s="43" t="n">
        <v>6</v>
      </c>
      <c r="I62" s="43" t="n">
        <v>14</v>
      </c>
      <c r="J62" s="43" t="n">
        <v>28</v>
      </c>
      <c r="K62" s="22">
        <f>H62*(1-Assumptions!$B$5)</f>
        <v/>
      </c>
      <c r="L62" s="22">
        <f>I62*(1-Assumptions!$B$5)</f>
        <v/>
      </c>
      <c r="M62" s="22">
        <f>J62*(1-Assumptions!$B$5)</f>
        <v/>
      </c>
    </row>
    <row r="63">
      <c r="A63" s="5" t="inlineStr">
        <is>
          <t>Backend API</t>
        </is>
      </c>
      <c r="B63" s="28" t="inlineStr">
        <is>
          <t>API</t>
        </is>
      </c>
      <c r="C63" s="4" t="inlineStr">
        <is>
          <t>File upload / download endpoint</t>
        </is>
      </c>
      <c r="D63" s="5" t="inlineStr">
        <is>
          <t>per endpoint</t>
        </is>
      </c>
      <c r="E63" s="5" t="inlineStr">
        <is>
          <t>Single small file</t>
        </is>
      </c>
      <c r="F63" s="5" t="inlineStr">
        <is>
          <t>Multiple files, validation, storage</t>
        </is>
      </c>
      <c r="G63" s="5" t="inlineStr">
        <is>
          <t>Large/chunked files, scanning, signed URLs</t>
        </is>
      </c>
      <c r="H63" s="43" t="n">
        <v>6</v>
      </c>
      <c r="I63" s="43" t="n">
        <v>12</v>
      </c>
      <c r="J63" s="43" t="n">
        <v>24</v>
      </c>
      <c r="K63" s="22">
        <f>H63*(1-Assumptions!$B$5)</f>
        <v/>
      </c>
      <c r="L63" s="22">
        <f>I63*(1-Assumptions!$B$5)</f>
        <v/>
      </c>
      <c r="M63" s="22">
        <f>J63*(1-Assumptions!$B$5)</f>
        <v/>
      </c>
    </row>
    <row r="64">
      <c r="A64" s="5" t="inlineStr">
        <is>
          <t>Backend API</t>
        </is>
      </c>
      <c r="B64" s="28" t="inlineStr">
        <is>
          <t>API</t>
        </is>
      </c>
      <c r="C64" s="4" t="inlineStr">
        <is>
          <t>External system integration endpoint</t>
        </is>
      </c>
      <c r="D64" s="5" t="inlineStr">
        <is>
          <t>per integration</t>
        </is>
      </c>
      <c r="E64" s="5" t="inlineStr">
        <is>
          <t>One REST call, no retry</t>
        </is>
      </c>
      <c r="F64" s="5" t="inlineStr">
        <is>
          <t>Authentication, data mapping, retry</t>
        </is>
      </c>
      <c r="G64" s="5" t="inlineStr">
        <is>
          <t>Multiple dependent calls, async handling, idempotency</t>
        </is>
      </c>
      <c r="H64" s="43" t="n">
        <v>8</v>
      </c>
      <c r="I64" s="43" t="n">
        <v>16</v>
      </c>
      <c r="J64" s="43" t="n">
        <v>32</v>
      </c>
      <c r="K64" s="22">
        <f>H64*(1-Assumptions!$B$5)</f>
        <v/>
      </c>
      <c r="L64" s="22">
        <f>I64*(1-Assumptions!$B$5)</f>
        <v/>
      </c>
      <c r="M64" s="22">
        <f>J64*(1-Assumptions!$B$5)</f>
        <v/>
      </c>
    </row>
    <row r="65">
      <c r="A65" s="5" t="inlineStr">
        <is>
          <t>Backend API</t>
        </is>
      </c>
      <c r="B65" s="28" t="inlineStr">
        <is>
          <t>API</t>
        </is>
      </c>
      <c r="C65" s="4" t="inlineStr">
        <is>
          <t>Real-time endpoint (SSE / WebSocket)</t>
        </is>
      </c>
      <c r="D65" s="5" t="inlineStr">
        <is>
          <t>per endpoint</t>
        </is>
      </c>
      <c r="E65" s="5" t="inlineStr">
        <is>
          <t>One-way updates</t>
        </is>
      </c>
      <c r="F65" s="5" t="inlineStr">
        <is>
          <t>Two-way messaging, reconnect handling</t>
        </is>
      </c>
      <c r="G65" s="5" t="inlineStr">
        <is>
          <t>Fan-out, authentication, back-pressure</t>
        </is>
      </c>
      <c r="H65" s="43" t="n">
        <v>8</v>
      </c>
      <c r="I65" s="43" t="n">
        <v>16</v>
      </c>
      <c r="J65" s="43" t="n">
        <v>28</v>
      </c>
      <c r="K65" s="22">
        <f>H65*(1-Assumptions!$B$5)</f>
        <v/>
      </c>
      <c r="L65" s="22">
        <f>I65*(1-Assumptions!$B$5)</f>
        <v/>
      </c>
      <c r="M65" s="22">
        <f>J65*(1-Assumptions!$B$5)</f>
        <v/>
      </c>
    </row>
    <row r="66">
      <c r="A66" s="5" t="inlineStr">
        <is>
          <t>Backend API</t>
        </is>
      </c>
      <c r="B66" s="28" t="inlineStr">
        <is>
          <t>API</t>
        </is>
      </c>
      <c r="C66" s="4" t="inlineStr">
        <is>
          <t>Export / report endpoint</t>
        </is>
      </c>
      <c r="D66" s="5" t="inlineStr">
        <is>
          <t>per endpoint</t>
        </is>
      </c>
      <c r="E66" s="5" t="inlineStr">
        <is>
          <t>Simple CSV</t>
        </is>
      </c>
      <c r="F66" s="5" t="inlineStr">
        <is>
          <t>Excel or PDF output</t>
        </is>
      </c>
      <c r="G66" s="5" t="inlineStr">
        <is>
          <t>Large asynchronous job</t>
        </is>
      </c>
      <c r="H66" s="43" t="n">
        <v>6</v>
      </c>
      <c r="I66" s="43" t="n">
        <v>14</v>
      </c>
      <c r="J66" s="43" t="n">
        <v>28</v>
      </c>
      <c r="K66" s="22">
        <f>H66*(1-Assumptions!$B$5)</f>
        <v/>
      </c>
      <c r="L66" s="22">
        <f>I66*(1-Assumptions!$B$5)</f>
        <v/>
      </c>
      <c r="M66" s="22">
        <f>J66*(1-Assumptions!$B$5)</f>
        <v/>
      </c>
    </row>
    <row r="67">
      <c r="A67" s="5" t="inlineStr">
        <is>
          <t>Backend API</t>
        </is>
      </c>
      <c r="B67" s="28" t="inlineStr">
        <is>
          <t>API</t>
        </is>
      </c>
      <c r="C67" s="4" t="inlineStr">
        <is>
          <t>Agent / LLM-facing endpoint</t>
        </is>
      </c>
      <c r="D67" s="5" t="inlineStr">
        <is>
          <t>per endpoint</t>
        </is>
      </c>
      <c r="E67" s="5" t="inlineStr">
        <is>
          <t>Pass-through request/response to an existing agent</t>
        </is>
      </c>
      <c r="F67" s="5" t="inlineStr">
        <is>
          <t>Streaming, session context</t>
        </is>
      </c>
      <c r="G67" s="5" t="inlineStr">
        <is>
          <t>Multi-step orchestration, tool-call events</t>
        </is>
      </c>
      <c r="H67" s="43" t="n">
        <v>8</v>
      </c>
      <c r="I67" s="43" t="n">
        <v>16</v>
      </c>
      <c r="J67" s="43" t="n">
        <v>32</v>
      </c>
      <c r="K67" s="22">
        <f>H67*(1-Assumptions!$B$5)</f>
        <v/>
      </c>
      <c r="L67" s="22">
        <f>I67*(1-Assumptions!$B$5)</f>
        <v/>
      </c>
      <c r="M67" s="22">
        <f>J67*(1-Assumptions!$B$5)</f>
        <v/>
      </c>
    </row>
  </sheetData>
  <autoFilter ref="A4:M67"/>
  <mergeCells count="2">
    <mergeCell ref="H3:J3"/>
    <mergeCell ref="K3:M3"/>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2E75B6"/>
    <outlinePr summaryBelow="1" summaryRight="1"/>
    <pageSetUpPr fitToPage="1"/>
  </sheetPr>
  <dimension ref="A1:L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24" customWidth="1" min="3" max="3"/>
    <col width="34" customWidth="1" min="4" max="4"/>
    <col width="34" customWidth="1" min="5" max="5"/>
    <col width="36" customWidth="1" min="6" max="6"/>
    <col width="11" customWidth="1" min="7" max="7"/>
    <col width="11" customWidth="1" min="8" max="8"/>
    <col width="11" customWidth="1" min="9" max="9"/>
    <col width="44" customWidth="1" min="10" max="10"/>
    <col width="44" customWidth="1" min="11" max="11"/>
    <col width="44" customWidth="1" min="12" max="12"/>
  </cols>
  <sheetData>
    <row r="1">
      <c r="A1" s="1" t="inlineStr">
        <is>
          <t>Page Templates</t>
        </is>
      </c>
    </row>
    <row r="2">
      <c r="A2" s="2" t="inlineStr">
        <is>
          <t>Typical effort for a whole page type at Simple / Medium / Complex level. Hours roll up from 'Page Bundles' and the Component Catalogue. Use these when the RFP only tells you the number and type of pages.</t>
        </is>
      </c>
    </row>
    <row r="3">
      <c r="G3" s="42" t="inlineStr">
        <is>
          <t>Hours per page (without AI)</t>
        </is>
      </c>
      <c r="J3" s="42" t="inlineStr">
        <is>
          <t>Components that make up the page (as delivered - Page Bundles is the live source)</t>
        </is>
      </c>
    </row>
    <row r="4">
      <c r="A4" s="12" t="inlineStr">
        <is>
          <t>Page type</t>
        </is>
      </c>
      <c r="B4" s="12" t="inlineStr">
        <is>
          <t>What it covers</t>
        </is>
      </c>
      <c r="C4" s="12" t="inlineStr">
        <is>
          <t>Typical API endpoints needed</t>
        </is>
      </c>
      <c r="D4" s="19" t="inlineStr">
        <is>
          <t>Simple page =</t>
        </is>
      </c>
      <c r="E4" s="20" t="inlineStr">
        <is>
          <t>Medium page =</t>
        </is>
      </c>
      <c r="F4" s="21" t="inlineStr">
        <is>
          <t>Complex page =</t>
        </is>
      </c>
      <c r="G4" s="19" t="inlineStr">
        <is>
          <t>Simple</t>
        </is>
      </c>
      <c r="H4" s="20" t="inlineStr">
        <is>
          <t>Medium</t>
        </is>
      </c>
      <c r="I4" s="21" t="inlineStr">
        <is>
          <t>Complex</t>
        </is>
      </c>
      <c r="J4" s="19" t="inlineStr">
        <is>
          <t>Simple page components</t>
        </is>
      </c>
      <c r="K4" s="20" t="inlineStr">
        <is>
          <t>Medium page components</t>
        </is>
      </c>
      <c r="L4" s="21" t="inlineStr">
        <is>
          <t>Complex page components</t>
        </is>
      </c>
    </row>
    <row r="5">
      <c r="A5" s="4" t="inlineStr">
        <is>
          <t>Login &amp; authentication page</t>
        </is>
      </c>
      <c r="B5" s="5" t="inlineStr">
        <is>
          <t>Sign-in screen and account flows</t>
        </is>
      </c>
      <c r="C5" s="5" t="inlineStr">
        <is>
          <t>1-3 (auth, token, reset)</t>
        </is>
      </c>
      <c r="D5" s="5" t="inlineStr">
        <is>
          <t>Login form only</t>
        </is>
      </c>
      <c r="E5" s="5" t="inlineStr">
        <is>
          <t>Login with SSO redirect, reset link, error states</t>
        </is>
      </c>
      <c r="F5" s="5" t="inlineStr">
        <is>
          <t>MFA, multiple identity providers, lockout flows</t>
        </is>
      </c>
      <c r="G5" s="22">
        <f>SUMIFS('Page Bundles'!$I$5:$I$300,'Page Bundles'!$A$5:$A$300,$A5)</f>
        <v/>
      </c>
      <c r="H5" s="22">
        <f>SUMIFS('Page Bundles'!$J$5:$J$300,'Page Bundles'!$A$5:$A$300,$A5)</f>
        <v/>
      </c>
      <c r="I5" s="22">
        <f>SUMIFS('Page Bundles'!$K$5:$K$300,'Page Bundles'!$A$5:$A$300,$A5)</f>
        <v/>
      </c>
      <c r="J5" s="5" t="inlineStr">
        <is>
          <t>Login screen (Simple)</t>
        </is>
      </c>
      <c r="K5" s="5" t="inlineStr">
        <is>
          <t>Login screen (Medium)
Password reset &amp; account flows (Simple)
Session handling (Simple)</t>
        </is>
      </c>
      <c r="L5" s="5" t="inlineStr">
        <is>
          <t>Login screen (Complex)
Password reset &amp; account flows (Medium)
Session handling (Medium)</t>
        </is>
      </c>
    </row>
    <row r="6">
      <c r="A6" s="4" t="inlineStr">
        <is>
          <t>Dashboard / analytics page</t>
        </is>
      </c>
      <c r="B6" s="5" t="inlineStr">
        <is>
          <t>KPI cards, charts and supporting tables</t>
        </is>
      </c>
      <c r="C6" s="5" t="inlineStr">
        <is>
          <t>2-6 (aggregation, list)</t>
        </is>
      </c>
      <c r="D6" s="5" t="inlineStr">
        <is>
          <t>Up to 4 KPIs and 1-2 basic charts, static filters</t>
        </is>
      </c>
      <c r="E6" s="5" t="inlineStr">
        <is>
          <t>3-5 charts, shared date filter, one detail table</t>
        </is>
      </c>
      <c r="F6" s="5" t="inlineStr">
        <is>
          <t>6+ charts, drill-down, live data, multiple data sources</t>
        </is>
      </c>
      <c r="G6" s="22">
        <f>SUMIFS('Page Bundles'!$I$5:$I$300,'Page Bundles'!$A$5:$A$300,$A6)</f>
        <v/>
      </c>
      <c r="H6" s="22">
        <f>SUMIFS('Page Bundles'!$J$5:$J$300,'Page Bundles'!$A$5:$A$300,$A6)</f>
        <v/>
      </c>
      <c r="I6" s="22">
        <f>SUMIFS('Page Bundles'!$K$5:$K$300,'Page Bundles'!$A$5:$A$300,$A6)</f>
        <v/>
      </c>
      <c r="J6" s="5" t="inlineStr">
        <is>
          <t>Dashboard layout &amp; global filters (Simple)
4 x KPI / stat card (Simple)
2 x Standard chart (bar, line, area, pie) (Simple)
Empty, loading &amp; error states (Simple)</t>
        </is>
      </c>
      <c r="K6" s="5" t="inlineStr">
        <is>
          <t>Dashboard layout &amp; global filters (Medium)
4 x KPI / stat card (Simple)
4 x Standard chart (bar, line, area, pie) (Medium)
Data table (Simple)
Empty, loading &amp; error states (Medium)</t>
        </is>
      </c>
      <c r="L6" s="5" t="inlineStr">
        <is>
          <t>Dashboard layout &amp; global filters (Complex)
6 x KPI / stat card (Medium)
6 x Standard chart (bar, line, area, pie) (Complex)
2 x Specialised chart (funnel, gauge, heatmap, scatter) (Medium)
Data table (Medium)
2 x Drill-down interaction (Medium)
Empty, loading &amp; error states (Medium)</t>
        </is>
      </c>
    </row>
    <row r="7">
      <c r="A7" s="4" t="inlineStr">
        <is>
          <t>List / search page</t>
        </is>
      </c>
      <c r="B7" s="5" t="inlineStr">
        <is>
          <t>Table with filters and actions</t>
        </is>
      </c>
      <c r="C7" s="5" t="inlineStr">
        <is>
          <t>1-3 (list, search, export)</t>
        </is>
      </c>
      <c r="D7" s="5" t="inlineStr">
        <is>
          <t>One read-only table with 2-3 filters</t>
        </is>
      </c>
      <c r="E7" s="5" t="inlineStr">
        <is>
          <t>Server-side table with filters, row actions, export</t>
        </is>
      </c>
      <c r="F7" s="5" t="inlineStr">
        <is>
          <t>Bulk actions, advanced filters, live updates, saved views</t>
        </is>
      </c>
      <c r="G7" s="22">
        <f>SUMIFS('Page Bundles'!$I$5:$I$300,'Page Bundles'!$A$5:$A$300,$A7)</f>
        <v/>
      </c>
      <c r="H7" s="22">
        <f>SUMIFS('Page Bundles'!$J$5:$J$300,'Page Bundles'!$A$5:$A$300,$A7)</f>
        <v/>
      </c>
      <c r="I7" s="22">
        <f>SUMIFS('Page Bundles'!$K$5:$K$300,'Page Bundles'!$A$5:$A$300,$A7)</f>
        <v/>
      </c>
      <c r="J7" s="5" t="inlineStr">
        <is>
          <t>Data table (Simple)
Filter bar / panel (Simple)
Empty, loading &amp; error states (Simple)</t>
        </is>
      </c>
      <c r="K7" s="5" t="inlineStr">
        <is>
          <t>Data table (Medium)
Filter bar / panel (Medium)
Search box &amp; suggestions (Simple)
Row actions &amp; bulk selection (Medium)
Data export (CSV / Excel) (Simple)
Empty, loading &amp; error states (Medium)</t>
        </is>
      </c>
      <c r="L7" s="5" t="inlineStr">
        <is>
          <t>Data table (Complex)
Filter bar / panel (Complex)
Search box &amp; suggestions (Medium)
Row actions &amp; bulk selection (Complex)
Data export (CSV / Excel) (Medium)
Empty, loading &amp; error states (Medium)</t>
        </is>
      </c>
    </row>
    <row r="8">
      <c r="A8" s="4" t="inlineStr">
        <is>
          <t>Detail / record page</t>
        </is>
      </c>
      <c r="B8" s="5" t="inlineStr">
        <is>
          <t>Summary, tabs, related data and activity</t>
        </is>
      </c>
      <c r="C8" s="5" t="inlineStr">
        <is>
          <t>2-5 (read, update, related lists)</t>
        </is>
      </c>
      <c r="D8" s="5" t="inlineStr">
        <is>
          <t>Read-only summary, no tabs</t>
        </is>
      </c>
      <c r="E8" s="5" t="inlineStr">
        <is>
          <t>Tabs, a related table, edit action</t>
        </is>
      </c>
      <c r="F8" s="5" t="inlineStr">
        <is>
          <t>Inline edit, several related sections, activity timeline, permissions</t>
        </is>
      </c>
      <c r="G8" s="22">
        <f>SUMIFS('Page Bundles'!$I$5:$I$300,'Page Bundles'!$A$5:$A$300,$A8)</f>
        <v/>
      </c>
      <c r="H8" s="22">
        <f>SUMIFS('Page Bundles'!$J$5:$J$300,'Page Bundles'!$A$5:$A$300,$A8)</f>
        <v/>
      </c>
      <c r="I8" s="22">
        <f>SUMIFS('Page Bundles'!$K$5:$K$300,'Page Bundles'!$A$5:$A$300,$A8)</f>
        <v/>
      </c>
      <c r="J8" s="5" t="inlineStr">
        <is>
          <t>Detail / summary panel (Simple)
Empty, loading &amp; error states (Simple)</t>
        </is>
      </c>
      <c r="K8" s="5" t="inlineStr">
        <is>
          <t>Detail / summary panel (Medium)
Breadcrumbs &amp; tabs (Medium)
Data table (Simple)
Timeline / activity feed (Simple)
Modal / dialog (Simple)
Empty, loading &amp; error states (Medium)</t>
        </is>
      </c>
      <c r="L8" s="5" t="inlineStr">
        <is>
          <t>Detail / summary panel (Complex)
Breadcrumbs &amp; tabs (Complex)
2 x Data table (Medium)
Timeline / activity feed (Medium)
2 x Modal / dialog (Medium)
Empty, loading &amp; error states (Medium)</t>
        </is>
      </c>
    </row>
    <row r="9">
      <c r="A9" s="4" t="inlineStr">
        <is>
          <t>Form / data-entry page</t>
        </is>
      </c>
      <c r="B9" s="5" t="inlineStr">
        <is>
          <t>Create or edit a record</t>
        </is>
      </c>
      <c r="C9" s="5" t="inlineStr">
        <is>
          <t>1-3 (create, update, lookups)</t>
        </is>
      </c>
      <c r="D9" s="5" t="inlineStr">
        <is>
          <t>One form of up to 5 fields</t>
        </is>
      </c>
      <c r="E9" s="5" t="inlineStr">
        <is>
          <t>6-12 fields, validation, file attachment</t>
        </is>
      </c>
      <c r="F9" s="5" t="inlineStr">
        <is>
          <t>Conditional sections, autosave, many field types</t>
        </is>
      </c>
      <c r="G9" s="22">
        <f>SUMIFS('Page Bundles'!$I$5:$I$300,'Page Bundles'!$A$5:$A$300,$A9)</f>
        <v/>
      </c>
      <c r="H9" s="22">
        <f>SUMIFS('Page Bundles'!$J$5:$J$300,'Page Bundles'!$A$5:$A$300,$A9)</f>
        <v/>
      </c>
      <c r="I9" s="22">
        <f>SUMIFS('Page Bundles'!$K$5:$K$300,'Page Bundles'!$A$5:$A$300,$A9)</f>
        <v/>
      </c>
      <c r="J9" s="5" t="inlineStr">
        <is>
          <t>Form (create / edit) (Simple)
Select / dropdown / combobox (Simple)
Empty, loading &amp; error states (Simple)</t>
        </is>
      </c>
      <c r="K9" s="5" t="inlineStr">
        <is>
          <t>Form (create / edit) (Medium)
3 x Select / dropdown / combobox (Simple)
Date / date-range picker (Simple)
File upload (Simple)
Empty, loading &amp; error states (Medium)</t>
        </is>
      </c>
      <c r="L9" s="5" t="inlineStr">
        <is>
          <t>Form (create / edit) (Complex)
6 x Select / dropdown / combobox (Medium)
2 x Date / date-range picker (Medium)
File upload (Medium)
Empty, loading &amp; error states (Medium)</t>
        </is>
      </c>
    </row>
    <row r="10">
      <c r="A10" s="4" t="inlineStr">
        <is>
          <t>Wizard / guided workflow page</t>
        </is>
      </c>
      <c r="B10" s="5" t="inlineStr">
        <is>
          <t>Step-by-step process</t>
        </is>
      </c>
      <c r="C10" s="5" t="inlineStr">
        <is>
          <t>2-6 (per-step save, lookups, submit)</t>
        </is>
      </c>
      <c r="D10" s="5" t="inlineStr">
        <is>
          <t>2-3 linear steps</t>
        </is>
      </c>
      <c r="E10" s="5" t="inlineStr">
        <is>
          <t>4-5 steps with review step</t>
        </is>
      </c>
      <c r="F10" s="5" t="inlineStr">
        <is>
          <t>Branching steps, save/resume, approvals</t>
        </is>
      </c>
      <c r="G10" s="22">
        <f>SUMIFS('Page Bundles'!$I$5:$I$300,'Page Bundles'!$A$5:$A$300,$A10)</f>
        <v/>
      </c>
      <c r="H10" s="22">
        <f>SUMIFS('Page Bundles'!$J$5:$J$300,'Page Bundles'!$A$5:$A$300,$A10)</f>
        <v/>
      </c>
      <c r="I10" s="22">
        <f>SUMIFS('Page Bundles'!$K$5:$K$300,'Page Bundles'!$A$5:$A$300,$A10)</f>
        <v/>
      </c>
      <c r="J10" s="5" t="inlineStr">
        <is>
          <t>Multi-step wizard (Simple)
2 x Select / dropdown / combobox (Simple)
Modal / dialog (Simple)
Empty, loading &amp; error states (Simple)</t>
        </is>
      </c>
      <c r="K10" s="5" t="inlineStr">
        <is>
          <t>Multi-step wizard (Medium)
4 x Select / dropdown / combobox (Simple)
Date / date-range picker (Simple)
Modal / dialog (Simple)
Empty, loading &amp; error states (Medium)</t>
        </is>
      </c>
      <c r="L10" s="5" t="inlineStr">
        <is>
          <t>Multi-step wizard (Complex)
6 x Select / dropdown / combobox (Medium)
2 x Date / date-range picker (Medium)
2 x Modal / dialog (Medium)
Empty, loading &amp; error states (Medium)</t>
        </is>
      </c>
    </row>
    <row r="11">
      <c r="A11" s="4" t="inlineStr">
        <is>
          <t>Admin / configuration page</t>
        </is>
      </c>
      <c r="B11" s="5" t="inlineStr">
        <is>
          <t>User, role and settings management</t>
        </is>
      </c>
      <c r="C11" s="5" t="inlineStr">
        <is>
          <t>3-8 (users, roles, settings, audit)</t>
        </is>
      </c>
      <c r="D11" s="5" t="inlineStr">
        <is>
          <t>A single settings form or user list</t>
        </is>
      </c>
      <c r="E11" s="5" t="inlineStr">
        <is>
          <t>User management, roles and audit log</t>
        </is>
      </c>
      <c r="F11" s="5" t="inlineStr">
        <is>
          <t>Permission matrix, bulk operations, delegated admin</t>
        </is>
      </c>
      <c r="G11" s="22">
        <f>SUMIFS('Page Bundles'!$I$5:$I$300,'Page Bundles'!$A$5:$A$300,$A11)</f>
        <v/>
      </c>
      <c r="H11" s="22">
        <f>SUMIFS('Page Bundles'!$J$5:$J$300,'Page Bundles'!$A$5:$A$300,$A11)</f>
        <v/>
      </c>
      <c r="I11" s="22">
        <f>SUMIFS('Page Bundles'!$K$5:$K$300,'Page Bundles'!$A$5:$A$300,$A11)</f>
        <v/>
      </c>
      <c r="J11" s="5" t="inlineStr">
        <is>
          <t>User &amp; role management (Simple)
Data table (Simple)
Settings / preferences panel (Simple)
Modal / dialog (Simple)
Empty, loading &amp; error states (Simple)</t>
        </is>
      </c>
      <c r="K11" s="5" t="inlineStr">
        <is>
          <t>User &amp; role management (Medium)
Data table (Medium)
Settings / preferences panel (Medium)
Role &amp; permission editor (Simple)
Audit log viewer (Simple)
2 x Modal / dialog (Simple)
Empty, loading &amp; error states (Medium)</t>
        </is>
      </c>
      <c r="L11" s="5" t="inlineStr">
        <is>
          <t>User &amp; role management (Complex)
Data table (Complex)
Settings / preferences panel (Complex)
Role &amp; permission editor (Medium)
Audit log viewer (Medium)
3 x Modal / dialog (Medium)
Empty, loading &amp; error states (Medium)</t>
        </is>
      </c>
    </row>
    <row r="12">
      <c r="A12" s="4" t="inlineStr">
        <is>
          <t>AI chat assistant page</t>
        </is>
      </c>
      <c r="B12" s="5" t="inlineStr">
        <is>
          <t>Conversational interface to an agent</t>
        </is>
      </c>
      <c r="C12" s="5" t="inlineStr">
        <is>
          <t>2-5 (chat, history, feedback, stream)</t>
        </is>
      </c>
      <c r="D12" s="5" t="inlineStr">
        <is>
          <t>Single-thread request/response chat</t>
        </is>
      </c>
      <c r="E12" s="5" t="inlineStr">
        <is>
          <t>Streaming, markdown, conversation history, citations</t>
        </is>
      </c>
      <c r="F12" s="5" t="inlineStr">
        <is>
          <t>Attachments, tool-call display, multi-session, structured output</t>
        </is>
      </c>
      <c r="G12" s="22">
        <f>SUMIFS('Page Bundles'!$I$5:$I$300,'Page Bundles'!$A$5:$A$300,$A12)</f>
        <v/>
      </c>
      <c r="H12" s="22">
        <f>SUMIFS('Page Bundles'!$J$5:$J$300,'Page Bundles'!$A$5:$A$300,$A12)</f>
        <v/>
      </c>
      <c r="I12" s="22">
        <f>SUMIFS('Page Bundles'!$K$5:$K$300,'Page Bundles'!$A$5:$A$300,$A12)</f>
        <v/>
      </c>
      <c r="J12" s="5" t="inlineStr">
        <is>
          <t>Chat interface (Simple)
Empty, loading &amp; error states (Simple)</t>
        </is>
      </c>
      <c r="K12" s="5" t="inlineStr">
        <is>
          <t>Chat interface (Medium)
Master-detail view (Simple)
Citations &amp; sources panel (Simple)
AI feedback &amp; suggested prompts (Simple)
Empty, loading &amp; error states (Medium)</t>
        </is>
      </c>
      <c r="L12" s="5" t="inlineStr">
        <is>
          <t>Chat interface (Complex)
Master-detail view (Medium)
Citations &amp; sources panel (Medium)
AI feedback &amp; suggested prompts (Medium)
AI structured-output renderer (Medium)
Empty, loading &amp; error states (Medium)</t>
        </is>
      </c>
    </row>
    <row r="13">
      <c r="A13" s="4" t="inlineStr">
        <is>
          <t>Agent / workflow monitor page</t>
        </is>
      </c>
      <c r="B13" s="5" t="inlineStr">
        <is>
          <t>Run list, run detail and approvals</t>
        </is>
      </c>
      <c r="C13" s="5" t="inlineStr">
        <is>
          <t>3-8 (runs, steps, approvals, status)</t>
        </is>
      </c>
      <c r="D13" s="5" t="inlineStr">
        <is>
          <t>Run list with status</t>
        </is>
      </c>
      <c r="E13" s="5" t="inlineStr">
        <is>
          <t>Live run detail with step timeline</t>
        </is>
      </c>
      <c r="F13" s="5" t="inlineStr">
        <is>
          <t>Approvals, retries, drill-down, multi-agent view</t>
        </is>
      </c>
      <c r="G13" s="22">
        <f>SUMIFS('Page Bundles'!$I$5:$I$300,'Page Bundles'!$A$5:$A$300,$A13)</f>
        <v/>
      </c>
      <c r="H13" s="22">
        <f>SUMIFS('Page Bundles'!$J$5:$J$300,'Page Bundles'!$A$5:$A$300,$A13)</f>
        <v/>
      </c>
      <c r="I13" s="22">
        <f>SUMIFS('Page Bundles'!$K$5:$K$300,'Page Bundles'!$A$5:$A$300,$A13)</f>
        <v/>
      </c>
      <c r="J13" s="5" t="inlineStr">
        <is>
          <t>Data table (Simple)
Detail / summary panel (Simple)
Agent run / tool-call timeline (Simple)
Empty, loading &amp; error states (Simple)</t>
        </is>
      </c>
      <c r="K13" s="5" t="inlineStr">
        <is>
          <t>Data table (Medium)
Detail / summary panel (Medium)
Agent run / tool-call timeline (Medium)
Human-in-the-loop approval (Simple)
Progress &amp; job status (Simple)
Filter bar / panel (Simple)
Empty, loading &amp; error states (Medium)</t>
        </is>
      </c>
      <c r="L13" s="5" t="inlineStr">
        <is>
          <t>Data table (Complex)
Detail / summary panel (Complex)
Agent run / tool-call timeline (Complex)
Human-in-the-loop approval (Medium)
Progress &amp; job status (Medium)
Filter bar / panel (Medium)
Empty, loading &amp; error states (Medium)</t>
        </is>
      </c>
    </row>
    <row r="14">
      <c r="A14" s="4" t="inlineStr">
        <is>
          <t>Report &amp; export page</t>
        </is>
      </c>
      <c r="B14" s="5" t="inlineStr">
        <is>
          <t>Filtered report with downloads</t>
        </is>
      </c>
      <c r="C14" s="5" t="inlineStr">
        <is>
          <t>2-5 (query, aggregate, export)</t>
        </is>
      </c>
      <c r="D14" s="5" t="inlineStr">
        <is>
          <t>Single table report with CSV export</t>
        </is>
      </c>
      <c r="E14" s="5" t="inlineStr">
        <is>
          <t>Filters, charts, Excel/PDF export</t>
        </is>
      </c>
      <c r="F14" s="5" t="inlineStr">
        <is>
          <t>Multi-section branded report, asynchronous generation</t>
        </is>
      </c>
      <c r="G14" s="22">
        <f>SUMIFS('Page Bundles'!$I$5:$I$300,'Page Bundles'!$A$5:$A$300,$A14)</f>
        <v/>
      </c>
      <c r="H14" s="22">
        <f>SUMIFS('Page Bundles'!$J$5:$J$300,'Page Bundles'!$A$5:$A$300,$A14)</f>
        <v/>
      </c>
      <c r="I14" s="22">
        <f>SUMIFS('Page Bundles'!$K$5:$K$300,'Page Bundles'!$A$5:$A$300,$A14)</f>
        <v/>
      </c>
      <c r="J14" s="5" t="inlineStr">
        <is>
          <t>Filter bar / panel (Simple)
Data table (Simple)
Data export (CSV / Excel) (Simple)
Empty, loading &amp; error states (Simple)</t>
        </is>
      </c>
      <c r="K14" s="5" t="inlineStr">
        <is>
          <t>Filter bar / panel (Medium)
Data table (Medium)
2 x Standard chart (bar, line, area, pie) (Simple)
Data export (CSV / Excel) (Medium)
PDF / printable report (Medium)
Empty, loading &amp; error states (Medium)</t>
        </is>
      </c>
      <c r="L14" s="5" t="inlineStr">
        <is>
          <t>Filter bar / panel (Complex)
Data table (Complex)
4 x Standard chart (bar, line, area, pie) (Medium)
Data export (CSV / Excel) (Complex)
PDF / printable report (Complex)
Empty, loading &amp; error states (Medium)</t>
        </is>
      </c>
    </row>
    <row r="15">
      <c r="A15" s="4" t="inlineStr">
        <is>
          <t>Content / landing page</t>
        </is>
      </c>
      <c r="B15" s="5" t="inlineStr">
        <is>
          <t>Static or lightly interactive content</t>
        </is>
      </c>
      <c r="C15" s="5" t="inlineStr">
        <is>
          <t>0-1</t>
        </is>
      </c>
      <c r="D15" s="5" t="inlineStr">
        <is>
          <t>Text and images</t>
        </is>
      </c>
      <c r="E15" s="5" t="inlineStr">
        <is>
          <t>Sections, accordion, anchors</t>
        </is>
      </c>
      <c r="F15" s="5" t="inlineStr">
        <is>
          <t>Highly interactive or CMS-driven content</t>
        </is>
      </c>
      <c r="G15" s="22">
        <f>SUMIFS('Page Bundles'!$I$5:$I$300,'Page Bundles'!$A$5:$A$300,$A15)</f>
        <v/>
      </c>
      <c r="H15" s="22">
        <f>SUMIFS('Page Bundles'!$J$5:$J$300,'Page Bundles'!$A$5:$A$300,$A15)</f>
        <v/>
      </c>
      <c r="I15" s="22">
        <f>SUMIFS('Page Bundles'!$K$5:$K$300,'Page Bundles'!$A$5:$A$300,$A15)</f>
        <v/>
      </c>
      <c r="J15" s="5" t="inlineStr">
        <is>
          <t>2 x Static content section (Simple)
Responsive layout (Simple)</t>
        </is>
      </c>
      <c r="K15" s="5" t="inlineStr">
        <is>
          <t>4 x Static content section (Medium)
Responsive layout (Medium)</t>
        </is>
      </c>
      <c r="L15" s="5" t="inlineStr">
        <is>
          <t>6 x Static content section (Medium)
Responsive layout (Complex)</t>
        </is>
      </c>
    </row>
    <row r="17" ht="32" customHeight="1">
      <c r="A17" s="18" t="inlineStr">
        <is>
          <t>Page hours cover the page's own components only. Add shared items once per application (app shell, navigation, theme, role-based rendering, session handling) in Section B of the Estimator, and the back-end APIs in Section C. 'Typical API endpoints' is a guide for choosing API counts.</t>
        </is>
      </c>
    </row>
  </sheetData>
  <mergeCells count="3">
    <mergeCell ref="A17:I17"/>
    <mergeCell ref="J3:L3"/>
    <mergeCell ref="G3:I3"/>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2E75B6"/>
    <outlinePr summaryBelow="1" summaryRight="1"/>
    <pageSetUpPr fitToPage="1"/>
  </sheetPr>
  <dimension ref="A1:N6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44" customWidth="1" min="2" max="2"/>
    <col width="9" customWidth="1" min="3" max="3"/>
    <col width="9" customWidth="1" min="4" max="4"/>
    <col width="9" customWidth="1" min="5" max="5"/>
    <col width="11" customWidth="1" min="6" max="6"/>
    <col width="11" customWidth="1" min="7" max="7"/>
    <col width="11" customWidth="1" min="8" max="8"/>
    <col width="10" customWidth="1" min="9" max="9"/>
    <col width="10" customWidth="1" min="10" max="10"/>
    <col width="10" customWidth="1" min="11" max="11"/>
    <col width="22" customWidth="1" min="12" max="12"/>
    <col width="22" customWidth="1" min="13" max="13"/>
    <col width="22" customWidth="1" min="14" max="14"/>
  </cols>
  <sheetData>
    <row r="1">
      <c r="A1" s="1" t="inlineStr">
        <is>
          <t>Page Bundles (detail behind Page Templates)</t>
        </is>
      </c>
    </row>
    <row r="2">
      <c r="A2" s="2" t="inlineStr">
        <is>
          <t>Which catalogue components make up each page type at Simple / Medium / Complex page level. Quantity 0 = component not in that page level. Edit quantities and levels to tune a template.</t>
        </is>
      </c>
    </row>
    <row r="3" ht="40" customHeight="1">
      <c r="C3" s="42" t="inlineStr">
        <is>
          <t>Quantity per page</t>
        </is>
      </c>
      <c r="F3" s="42" t="inlineStr">
        <is>
          <t>Complexity of component</t>
        </is>
      </c>
      <c r="I3" s="42" t="inlineStr">
        <is>
          <t>Hours (without AI)</t>
        </is>
      </c>
      <c r="L3" s="44" t="inlineStr">
        <is>
          <t>Helper keys (do not edit) - used by the Estimator's Page Explorer. Copy down when adding rows.</t>
        </is>
      </c>
    </row>
    <row r="4">
      <c r="A4" s="12" t="inlineStr">
        <is>
          <t>Page type</t>
        </is>
      </c>
      <c r="B4" s="12" t="inlineStr">
        <is>
          <t>Component</t>
        </is>
      </c>
      <c r="C4" s="19" t="inlineStr">
        <is>
          <t>Simple page</t>
        </is>
      </c>
      <c r="D4" s="20" t="inlineStr">
        <is>
          <t>Medium page</t>
        </is>
      </c>
      <c r="E4" s="21" t="inlineStr">
        <is>
          <t>Complex page</t>
        </is>
      </c>
      <c r="F4" s="19" t="inlineStr">
        <is>
          <t>Simple page</t>
        </is>
      </c>
      <c r="G4" s="20" t="inlineStr">
        <is>
          <t>Medium page</t>
        </is>
      </c>
      <c r="H4" s="21" t="inlineStr">
        <is>
          <t>Complex page</t>
        </is>
      </c>
      <c r="I4" s="19" t="inlineStr">
        <is>
          <t>Simple page</t>
        </is>
      </c>
      <c r="J4" s="20" t="inlineStr">
        <is>
          <t>Medium page</t>
        </is>
      </c>
      <c r="K4" s="21" t="inlineStr">
        <is>
          <t>Complex page</t>
        </is>
      </c>
      <c r="L4" s="45" t="inlineStr">
        <is>
          <t>Simple key</t>
        </is>
      </c>
      <c r="M4" s="45" t="inlineStr">
        <is>
          <t>Medium key</t>
        </is>
      </c>
      <c r="N4" s="45" t="inlineStr">
        <is>
          <t>Complex key</t>
        </is>
      </c>
    </row>
    <row r="5">
      <c r="A5" s="4" t="inlineStr">
        <is>
          <t>Login &amp; authentication page</t>
        </is>
      </c>
      <c r="B5" s="5" t="inlineStr">
        <is>
          <t>Login screen</t>
        </is>
      </c>
      <c r="C5" s="10" t="n">
        <v>1</v>
      </c>
      <c r="D5" s="10" t="n">
        <v>1</v>
      </c>
      <c r="E5" s="10" t="n">
        <v>1</v>
      </c>
      <c r="F5" s="10" t="inlineStr">
        <is>
          <t>Simple</t>
        </is>
      </c>
      <c r="G5" s="10" t="inlineStr">
        <is>
          <t>Medium</t>
        </is>
      </c>
      <c r="H5" s="10" t="inlineStr">
        <is>
          <t>Complex</t>
        </is>
      </c>
      <c r="I5" s="22">
        <f>IF(C5=0,0,C5*INDEX('Component Catalogue'!$H$5:$J$150,MATCH($B5,'Component Catalogue'!$C$5:$C$150,0),MATCH(F5,'Component Catalogue'!$H$4:$J$4,0)))</f>
        <v/>
      </c>
      <c r="J5" s="22">
        <f>IF(D5=0,0,D5*INDEX('Component Catalogue'!$H$5:$J$150,MATCH($B5,'Component Catalogue'!$C$5:$C$150,0),MATCH(G5,'Component Catalogue'!$H$4:$J$4,0)))</f>
        <v/>
      </c>
      <c r="K5" s="22">
        <f>IF(E5=0,0,E5*INDEX('Component Catalogue'!$H$5:$J$150,MATCH($B5,'Component Catalogue'!$C$5:$C$150,0),MATCH(H5,'Component Catalogue'!$H$4:$J$4,0)))</f>
        <v/>
      </c>
      <c r="L5" s="39">
        <f>IF(C5&gt;0,$A5&amp;"|"&amp;COUNTIFS($A$5:$A5,$A5,C$5:C5,"&gt;0"),"")</f>
        <v/>
      </c>
      <c r="M5" s="39">
        <f>IF(D5&gt;0,$A5&amp;"|"&amp;COUNTIFS($A$5:$A5,$A5,D$5:D5,"&gt;0"),"")</f>
        <v/>
      </c>
      <c r="N5" s="39">
        <f>IF(E5&gt;0,$A5&amp;"|"&amp;COUNTIFS($A$5:$A5,$A5,E$5:E5,"&gt;0"),"")</f>
        <v/>
      </c>
    </row>
    <row r="6">
      <c r="A6" s="4" t="inlineStr">
        <is>
          <t>Login &amp; authentication page</t>
        </is>
      </c>
      <c r="B6" s="5" t="inlineStr">
        <is>
          <t>Password reset &amp; account flows</t>
        </is>
      </c>
      <c r="C6" s="10" t="n">
        <v>0</v>
      </c>
      <c r="D6" s="10" t="n">
        <v>1</v>
      </c>
      <c r="E6" s="10" t="n">
        <v>1</v>
      </c>
      <c r="F6" s="10" t="inlineStr">
        <is>
          <t>-</t>
        </is>
      </c>
      <c r="G6" s="10" t="inlineStr">
        <is>
          <t>Simple</t>
        </is>
      </c>
      <c r="H6" s="10" t="inlineStr">
        <is>
          <t>Medium</t>
        </is>
      </c>
      <c r="I6" s="22">
        <f>IF(C6=0,0,C6*INDEX('Component Catalogue'!$H$5:$J$150,MATCH($B6,'Component Catalogue'!$C$5:$C$150,0),MATCH(F6,'Component Catalogue'!$H$4:$J$4,0)))</f>
        <v/>
      </c>
      <c r="J6" s="22">
        <f>IF(D6=0,0,D6*INDEX('Component Catalogue'!$H$5:$J$150,MATCH($B6,'Component Catalogue'!$C$5:$C$150,0),MATCH(G6,'Component Catalogue'!$H$4:$J$4,0)))</f>
        <v/>
      </c>
      <c r="K6" s="22">
        <f>IF(E6=0,0,E6*INDEX('Component Catalogue'!$H$5:$J$150,MATCH($B6,'Component Catalogue'!$C$5:$C$150,0),MATCH(H6,'Component Catalogue'!$H$4:$J$4,0)))</f>
        <v/>
      </c>
      <c r="L6" s="39">
        <f>IF(C6&gt;0,$A6&amp;"|"&amp;COUNTIFS($A$5:$A6,$A6,C$5:C6,"&gt;0"),"")</f>
        <v/>
      </c>
      <c r="M6" s="39">
        <f>IF(D6&gt;0,$A6&amp;"|"&amp;COUNTIFS($A$5:$A6,$A6,D$5:D6,"&gt;0"),"")</f>
        <v/>
      </c>
      <c r="N6" s="39">
        <f>IF(E6&gt;0,$A6&amp;"|"&amp;COUNTIFS($A$5:$A6,$A6,E$5:E6,"&gt;0"),"")</f>
        <v/>
      </c>
    </row>
    <row r="7">
      <c r="A7" s="4" t="inlineStr">
        <is>
          <t>Login &amp; authentication page</t>
        </is>
      </c>
      <c r="B7" s="5" t="inlineStr">
        <is>
          <t>Session handling</t>
        </is>
      </c>
      <c r="C7" s="10" t="n">
        <v>0</v>
      </c>
      <c r="D7" s="10" t="n">
        <v>1</v>
      </c>
      <c r="E7" s="10" t="n">
        <v>1</v>
      </c>
      <c r="F7" s="10" t="inlineStr">
        <is>
          <t>-</t>
        </is>
      </c>
      <c r="G7" s="10" t="inlineStr">
        <is>
          <t>Simple</t>
        </is>
      </c>
      <c r="H7" s="10" t="inlineStr">
        <is>
          <t>Medium</t>
        </is>
      </c>
      <c r="I7" s="22">
        <f>IF(C7=0,0,C7*INDEX('Component Catalogue'!$H$5:$J$150,MATCH($B7,'Component Catalogue'!$C$5:$C$150,0),MATCH(F7,'Component Catalogue'!$H$4:$J$4,0)))</f>
        <v/>
      </c>
      <c r="J7" s="22">
        <f>IF(D7=0,0,D7*INDEX('Component Catalogue'!$H$5:$J$150,MATCH($B7,'Component Catalogue'!$C$5:$C$150,0),MATCH(G7,'Component Catalogue'!$H$4:$J$4,0)))</f>
        <v/>
      </c>
      <c r="K7" s="22">
        <f>IF(E7=0,0,E7*INDEX('Component Catalogue'!$H$5:$J$150,MATCH($B7,'Component Catalogue'!$C$5:$C$150,0),MATCH(H7,'Component Catalogue'!$H$4:$J$4,0)))</f>
        <v/>
      </c>
      <c r="L7" s="39">
        <f>IF(C7&gt;0,$A7&amp;"|"&amp;COUNTIFS($A$5:$A7,$A7,C$5:C7,"&gt;0"),"")</f>
        <v/>
      </c>
      <c r="M7" s="39">
        <f>IF(D7&gt;0,$A7&amp;"|"&amp;COUNTIFS($A$5:$A7,$A7,D$5:D7,"&gt;0"),"")</f>
        <v/>
      </c>
      <c r="N7" s="39">
        <f>IF(E7&gt;0,$A7&amp;"|"&amp;COUNTIFS($A$5:$A7,$A7,E$5:E7,"&gt;0"),"")</f>
        <v/>
      </c>
    </row>
    <row r="8">
      <c r="A8" s="4" t="inlineStr">
        <is>
          <t>Dashboard / analytics page</t>
        </is>
      </c>
      <c r="B8" s="5" t="inlineStr">
        <is>
          <t>Dashboard layout &amp; global filters</t>
        </is>
      </c>
      <c r="C8" s="10" t="n">
        <v>1</v>
      </c>
      <c r="D8" s="10" t="n">
        <v>1</v>
      </c>
      <c r="E8" s="10" t="n">
        <v>1</v>
      </c>
      <c r="F8" s="10" t="inlineStr">
        <is>
          <t>Simple</t>
        </is>
      </c>
      <c r="G8" s="10" t="inlineStr">
        <is>
          <t>Medium</t>
        </is>
      </c>
      <c r="H8" s="10" t="inlineStr">
        <is>
          <t>Complex</t>
        </is>
      </c>
      <c r="I8" s="22">
        <f>IF(C8=0,0,C8*INDEX('Component Catalogue'!$H$5:$J$150,MATCH($B8,'Component Catalogue'!$C$5:$C$150,0),MATCH(F8,'Component Catalogue'!$H$4:$J$4,0)))</f>
        <v/>
      </c>
      <c r="J8" s="22">
        <f>IF(D8=0,0,D8*INDEX('Component Catalogue'!$H$5:$J$150,MATCH($B8,'Component Catalogue'!$C$5:$C$150,0),MATCH(G8,'Component Catalogue'!$H$4:$J$4,0)))</f>
        <v/>
      </c>
      <c r="K8" s="22">
        <f>IF(E8=0,0,E8*INDEX('Component Catalogue'!$H$5:$J$150,MATCH($B8,'Component Catalogue'!$C$5:$C$150,0),MATCH(H8,'Component Catalogue'!$H$4:$J$4,0)))</f>
        <v/>
      </c>
      <c r="L8" s="39">
        <f>IF(C8&gt;0,$A8&amp;"|"&amp;COUNTIFS($A$5:$A8,$A8,C$5:C8,"&gt;0"),"")</f>
        <v/>
      </c>
      <c r="M8" s="39">
        <f>IF(D8&gt;0,$A8&amp;"|"&amp;COUNTIFS($A$5:$A8,$A8,D$5:D8,"&gt;0"),"")</f>
        <v/>
      </c>
      <c r="N8" s="39">
        <f>IF(E8&gt;0,$A8&amp;"|"&amp;COUNTIFS($A$5:$A8,$A8,E$5:E8,"&gt;0"),"")</f>
        <v/>
      </c>
    </row>
    <row r="9">
      <c r="A9" s="4" t="inlineStr">
        <is>
          <t>Dashboard / analytics page</t>
        </is>
      </c>
      <c r="B9" s="5" t="inlineStr">
        <is>
          <t>KPI / stat card</t>
        </is>
      </c>
      <c r="C9" s="10" t="n">
        <v>4</v>
      </c>
      <c r="D9" s="10" t="n">
        <v>4</v>
      </c>
      <c r="E9" s="10" t="n">
        <v>6</v>
      </c>
      <c r="F9" s="10" t="inlineStr">
        <is>
          <t>Simple</t>
        </is>
      </c>
      <c r="G9" s="10" t="inlineStr">
        <is>
          <t>Simple</t>
        </is>
      </c>
      <c r="H9" s="10" t="inlineStr">
        <is>
          <t>Medium</t>
        </is>
      </c>
      <c r="I9" s="22">
        <f>IF(C9=0,0,C9*INDEX('Component Catalogue'!$H$5:$J$150,MATCH($B9,'Component Catalogue'!$C$5:$C$150,0),MATCH(F9,'Component Catalogue'!$H$4:$J$4,0)))</f>
        <v/>
      </c>
      <c r="J9" s="22">
        <f>IF(D9=0,0,D9*INDEX('Component Catalogue'!$H$5:$J$150,MATCH($B9,'Component Catalogue'!$C$5:$C$150,0),MATCH(G9,'Component Catalogue'!$H$4:$J$4,0)))</f>
        <v/>
      </c>
      <c r="K9" s="22">
        <f>IF(E9=0,0,E9*INDEX('Component Catalogue'!$H$5:$J$150,MATCH($B9,'Component Catalogue'!$C$5:$C$150,0),MATCH(H9,'Component Catalogue'!$H$4:$J$4,0)))</f>
        <v/>
      </c>
      <c r="L9" s="39">
        <f>IF(C9&gt;0,$A9&amp;"|"&amp;COUNTIFS($A$5:$A9,$A9,C$5:C9,"&gt;0"),"")</f>
        <v/>
      </c>
      <c r="M9" s="39">
        <f>IF(D9&gt;0,$A9&amp;"|"&amp;COUNTIFS($A$5:$A9,$A9,D$5:D9,"&gt;0"),"")</f>
        <v/>
      </c>
      <c r="N9" s="39">
        <f>IF(E9&gt;0,$A9&amp;"|"&amp;COUNTIFS($A$5:$A9,$A9,E$5:E9,"&gt;0"),"")</f>
        <v/>
      </c>
    </row>
    <row r="10">
      <c r="A10" s="4" t="inlineStr">
        <is>
          <t>Dashboard / analytics page</t>
        </is>
      </c>
      <c r="B10" s="5" t="inlineStr">
        <is>
          <t>Standard chart (bar, line, area, pie)</t>
        </is>
      </c>
      <c r="C10" s="10" t="n">
        <v>2</v>
      </c>
      <c r="D10" s="10" t="n">
        <v>4</v>
      </c>
      <c r="E10" s="10" t="n">
        <v>6</v>
      </c>
      <c r="F10" s="10" t="inlineStr">
        <is>
          <t>Simple</t>
        </is>
      </c>
      <c r="G10" s="10" t="inlineStr">
        <is>
          <t>Medium</t>
        </is>
      </c>
      <c r="H10" s="10" t="inlineStr">
        <is>
          <t>Complex</t>
        </is>
      </c>
      <c r="I10" s="22">
        <f>IF(C10=0,0,C10*INDEX('Component Catalogue'!$H$5:$J$150,MATCH($B10,'Component Catalogue'!$C$5:$C$150,0),MATCH(F10,'Component Catalogue'!$H$4:$J$4,0)))</f>
        <v/>
      </c>
      <c r="J10" s="22">
        <f>IF(D10=0,0,D10*INDEX('Component Catalogue'!$H$5:$J$150,MATCH($B10,'Component Catalogue'!$C$5:$C$150,0),MATCH(G10,'Component Catalogue'!$H$4:$J$4,0)))</f>
        <v/>
      </c>
      <c r="K10" s="22">
        <f>IF(E10=0,0,E10*INDEX('Component Catalogue'!$H$5:$J$150,MATCH($B10,'Component Catalogue'!$C$5:$C$150,0),MATCH(H10,'Component Catalogue'!$H$4:$J$4,0)))</f>
        <v/>
      </c>
      <c r="L10" s="39">
        <f>IF(C10&gt;0,$A10&amp;"|"&amp;COUNTIFS($A$5:$A10,$A10,C$5:C10,"&gt;0"),"")</f>
        <v/>
      </c>
      <c r="M10" s="39">
        <f>IF(D10&gt;0,$A10&amp;"|"&amp;COUNTIFS($A$5:$A10,$A10,D$5:D10,"&gt;0"),"")</f>
        <v/>
      </c>
      <c r="N10" s="39">
        <f>IF(E10&gt;0,$A10&amp;"|"&amp;COUNTIFS($A$5:$A10,$A10,E$5:E10,"&gt;0"),"")</f>
        <v/>
      </c>
    </row>
    <row r="11">
      <c r="A11" s="4" t="inlineStr">
        <is>
          <t>Dashboard / analytics page</t>
        </is>
      </c>
      <c r="B11" s="5" t="inlineStr">
        <is>
          <t>Specialised chart (funnel, gauge, heatmap, scatter)</t>
        </is>
      </c>
      <c r="C11" s="10" t="n">
        <v>0</v>
      </c>
      <c r="D11" s="10" t="n">
        <v>0</v>
      </c>
      <c r="E11" s="10" t="n">
        <v>2</v>
      </c>
      <c r="F11" s="10" t="inlineStr">
        <is>
          <t>-</t>
        </is>
      </c>
      <c r="G11" s="10" t="inlineStr">
        <is>
          <t>-</t>
        </is>
      </c>
      <c r="H11" s="10" t="inlineStr">
        <is>
          <t>Medium</t>
        </is>
      </c>
      <c r="I11" s="22">
        <f>IF(C11=0,0,C11*INDEX('Component Catalogue'!$H$5:$J$150,MATCH($B11,'Component Catalogue'!$C$5:$C$150,0),MATCH(F11,'Component Catalogue'!$H$4:$J$4,0)))</f>
        <v/>
      </c>
      <c r="J11" s="22">
        <f>IF(D11=0,0,D11*INDEX('Component Catalogue'!$H$5:$J$150,MATCH($B11,'Component Catalogue'!$C$5:$C$150,0),MATCH(G11,'Component Catalogue'!$H$4:$J$4,0)))</f>
        <v/>
      </c>
      <c r="K11" s="22">
        <f>IF(E11=0,0,E11*INDEX('Component Catalogue'!$H$5:$J$150,MATCH($B11,'Component Catalogue'!$C$5:$C$150,0),MATCH(H11,'Component Catalogue'!$H$4:$J$4,0)))</f>
        <v/>
      </c>
      <c r="L11" s="39">
        <f>IF(C11&gt;0,$A11&amp;"|"&amp;COUNTIFS($A$5:$A11,$A11,C$5:C11,"&gt;0"),"")</f>
        <v/>
      </c>
      <c r="M11" s="39">
        <f>IF(D11&gt;0,$A11&amp;"|"&amp;COUNTIFS($A$5:$A11,$A11,D$5:D11,"&gt;0"),"")</f>
        <v/>
      </c>
      <c r="N11" s="39">
        <f>IF(E11&gt;0,$A11&amp;"|"&amp;COUNTIFS($A$5:$A11,$A11,E$5:E11,"&gt;0"),"")</f>
        <v/>
      </c>
    </row>
    <row r="12">
      <c r="A12" s="4" t="inlineStr">
        <is>
          <t>Dashboard / analytics page</t>
        </is>
      </c>
      <c r="B12" s="5" t="inlineStr">
        <is>
          <t>Data table</t>
        </is>
      </c>
      <c r="C12" s="10" t="n">
        <v>0</v>
      </c>
      <c r="D12" s="10" t="n">
        <v>1</v>
      </c>
      <c r="E12" s="10" t="n">
        <v>1</v>
      </c>
      <c r="F12" s="10" t="inlineStr">
        <is>
          <t>-</t>
        </is>
      </c>
      <c r="G12" s="10" t="inlineStr">
        <is>
          <t>Simple</t>
        </is>
      </c>
      <c r="H12" s="10" t="inlineStr">
        <is>
          <t>Medium</t>
        </is>
      </c>
      <c r="I12" s="22">
        <f>IF(C12=0,0,C12*INDEX('Component Catalogue'!$H$5:$J$150,MATCH($B12,'Component Catalogue'!$C$5:$C$150,0),MATCH(F12,'Component Catalogue'!$H$4:$J$4,0)))</f>
        <v/>
      </c>
      <c r="J12" s="22">
        <f>IF(D12=0,0,D12*INDEX('Component Catalogue'!$H$5:$J$150,MATCH($B12,'Component Catalogue'!$C$5:$C$150,0),MATCH(G12,'Component Catalogue'!$H$4:$J$4,0)))</f>
        <v/>
      </c>
      <c r="K12" s="22">
        <f>IF(E12=0,0,E12*INDEX('Component Catalogue'!$H$5:$J$150,MATCH($B12,'Component Catalogue'!$C$5:$C$150,0),MATCH(H12,'Component Catalogue'!$H$4:$J$4,0)))</f>
        <v/>
      </c>
      <c r="L12" s="39">
        <f>IF(C12&gt;0,$A12&amp;"|"&amp;COUNTIFS($A$5:$A12,$A12,C$5:C12,"&gt;0"),"")</f>
        <v/>
      </c>
      <c r="M12" s="39">
        <f>IF(D12&gt;0,$A12&amp;"|"&amp;COUNTIFS($A$5:$A12,$A12,D$5:D12,"&gt;0"),"")</f>
        <v/>
      </c>
      <c r="N12" s="39">
        <f>IF(E12&gt;0,$A12&amp;"|"&amp;COUNTIFS($A$5:$A12,$A12,E$5:E12,"&gt;0"),"")</f>
        <v/>
      </c>
    </row>
    <row r="13">
      <c r="A13" s="4" t="inlineStr">
        <is>
          <t>Dashboard / analytics page</t>
        </is>
      </c>
      <c r="B13" s="5" t="inlineStr">
        <is>
          <t>Drill-down interaction</t>
        </is>
      </c>
      <c r="C13" s="10" t="n">
        <v>0</v>
      </c>
      <c r="D13" s="10" t="n">
        <v>0</v>
      </c>
      <c r="E13" s="10" t="n">
        <v>2</v>
      </c>
      <c r="F13" s="10" t="inlineStr">
        <is>
          <t>-</t>
        </is>
      </c>
      <c r="G13" s="10" t="inlineStr">
        <is>
          <t>-</t>
        </is>
      </c>
      <c r="H13" s="10" t="inlineStr">
        <is>
          <t>Medium</t>
        </is>
      </c>
      <c r="I13" s="22">
        <f>IF(C13=0,0,C13*INDEX('Component Catalogue'!$H$5:$J$150,MATCH($B13,'Component Catalogue'!$C$5:$C$150,0),MATCH(F13,'Component Catalogue'!$H$4:$J$4,0)))</f>
        <v/>
      </c>
      <c r="J13" s="22">
        <f>IF(D13=0,0,D13*INDEX('Component Catalogue'!$H$5:$J$150,MATCH($B13,'Component Catalogue'!$C$5:$C$150,0),MATCH(G13,'Component Catalogue'!$H$4:$J$4,0)))</f>
        <v/>
      </c>
      <c r="K13" s="22">
        <f>IF(E13=0,0,E13*INDEX('Component Catalogue'!$H$5:$J$150,MATCH($B13,'Component Catalogue'!$C$5:$C$150,0),MATCH(H13,'Component Catalogue'!$H$4:$J$4,0)))</f>
        <v/>
      </c>
      <c r="L13" s="39">
        <f>IF(C13&gt;0,$A13&amp;"|"&amp;COUNTIFS($A$5:$A13,$A13,C$5:C13,"&gt;0"),"")</f>
        <v/>
      </c>
      <c r="M13" s="39">
        <f>IF(D13&gt;0,$A13&amp;"|"&amp;COUNTIFS($A$5:$A13,$A13,D$5:D13,"&gt;0"),"")</f>
        <v/>
      </c>
      <c r="N13" s="39">
        <f>IF(E13&gt;0,$A13&amp;"|"&amp;COUNTIFS($A$5:$A13,$A13,E$5:E13,"&gt;0"),"")</f>
        <v/>
      </c>
    </row>
    <row r="14">
      <c r="A14" s="4" t="inlineStr">
        <is>
          <t>Dashboard / analytics page</t>
        </is>
      </c>
      <c r="B14" s="5" t="inlineStr">
        <is>
          <t>Empty, loading &amp; error states</t>
        </is>
      </c>
      <c r="C14" s="10" t="n">
        <v>1</v>
      </c>
      <c r="D14" s="10" t="n">
        <v>1</v>
      </c>
      <c r="E14" s="10" t="n">
        <v>1</v>
      </c>
      <c r="F14" s="10" t="inlineStr">
        <is>
          <t>Simple</t>
        </is>
      </c>
      <c r="G14" s="10" t="inlineStr">
        <is>
          <t>Medium</t>
        </is>
      </c>
      <c r="H14" s="10" t="inlineStr">
        <is>
          <t>Medium</t>
        </is>
      </c>
      <c r="I14" s="22">
        <f>IF(C14=0,0,C14*INDEX('Component Catalogue'!$H$5:$J$150,MATCH($B14,'Component Catalogue'!$C$5:$C$150,0),MATCH(F14,'Component Catalogue'!$H$4:$J$4,0)))</f>
        <v/>
      </c>
      <c r="J14" s="22">
        <f>IF(D14=0,0,D14*INDEX('Component Catalogue'!$H$5:$J$150,MATCH($B14,'Component Catalogue'!$C$5:$C$150,0),MATCH(G14,'Component Catalogue'!$H$4:$J$4,0)))</f>
        <v/>
      </c>
      <c r="K14" s="22">
        <f>IF(E14=0,0,E14*INDEX('Component Catalogue'!$H$5:$J$150,MATCH($B14,'Component Catalogue'!$C$5:$C$150,0),MATCH(H14,'Component Catalogue'!$H$4:$J$4,0)))</f>
        <v/>
      </c>
      <c r="L14" s="39">
        <f>IF(C14&gt;0,$A14&amp;"|"&amp;COUNTIFS($A$5:$A14,$A14,C$5:C14,"&gt;0"),"")</f>
        <v/>
      </c>
      <c r="M14" s="39">
        <f>IF(D14&gt;0,$A14&amp;"|"&amp;COUNTIFS($A$5:$A14,$A14,D$5:D14,"&gt;0"),"")</f>
        <v/>
      </c>
      <c r="N14" s="39">
        <f>IF(E14&gt;0,$A14&amp;"|"&amp;COUNTIFS($A$5:$A14,$A14,E$5:E14,"&gt;0"),"")</f>
        <v/>
      </c>
    </row>
    <row r="15">
      <c r="A15" s="4" t="inlineStr">
        <is>
          <t>List / search page</t>
        </is>
      </c>
      <c r="B15" s="5" t="inlineStr">
        <is>
          <t>Data table</t>
        </is>
      </c>
      <c r="C15" s="10" t="n">
        <v>1</v>
      </c>
      <c r="D15" s="10" t="n">
        <v>1</v>
      </c>
      <c r="E15" s="10" t="n">
        <v>1</v>
      </c>
      <c r="F15" s="10" t="inlineStr">
        <is>
          <t>Simple</t>
        </is>
      </c>
      <c r="G15" s="10" t="inlineStr">
        <is>
          <t>Medium</t>
        </is>
      </c>
      <c r="H15" s="10" t="inlineStr">
        <is>
          <t>Complex</t>
        </is>
      </c>
      <c r="I15" s="22">
        <f>IF(C15=0,0,C15*INDEX('Component Catalogue'!$H$5:$J$150,MATCH($B15,'Component Catalogue'!$C$5:$C$150,0),MATCH(F15,'Component Catalogue'!$H$4:$J$4,0)))</f>
        <v/>
      </c>
      <c r="J15" s="22">
        <f>IF(D15=0,0,D15*INDEX('Component Catalogue'!$H$5:$J$150,MATCH($B15,'Component Catalogue'!$C$5:$C$150,0),MATCH(G15,'Component Catalogue'!$H$4:$J$4,0)))</f>
        <v/>
      </c>
      <c r="K15" s="22">
        <f>IF(E15=0,0,E15*INDEX('Component Catalogue'!$H$5:$J$150,MATCH($B15,'Component Catalogue'!$C$5:$C$150,0),MATCH(H15,'Component Catalogue'!$H$4:$J$4,0)))</f>
        <v/>
      </c>
      <c r="L15" s="39">
        <f>IF(C15&gt;0,$A15&amp;"|"&amp;COUNTIFS($A$5:$A15,$A15,C$5:C15,"&gt;0"),"")</f>
        <v/>
      </c>
      <c r="M15" s="39">
        <f>IF(D15&gt;0,$A15&amp;"|"&amp;COUNTIFS($A$5:$A15,$A15,D$5:D15,"&gt;0"),"")</f>
        <v/>
      </c>
      <c r="N15" s="39">
        <f>IF(E15&gt;0,$A15&amp;"|"&amp;COUNTIFS($A$5:$A15,$A15,E$5:E15,"&gt;0"),"")</f>
        <v/>
      </c>
    </row>
    <row r="16">
      <c r="A16" s="4" t="inlineStr">
        <is>
          <t>List / search page</t>
        </is>
      </c>
      <c r="B16" s="5" t="inlineStr">
        <is>
          <t>Filter bar / panel</t>
        </is>
      </c>
      <c r="C16" s="10" t="n">
        <v>1</v>
      </c>
      <c r="D16" s="10" t="n">
        <v>1</v>
      </c>
      <c r="E16" s="10" t="n">
        <v>1</v>
      </c>
      <c r="F16" s="10" t="inlineStr">
        <is>
          <t>Simple</t>
        </is>
      </c>
      <c r="G16" s="10" t="inlineStr">
        <is>
          <t>Medium</t>
        </is>
      </c>
      <c r="H16" s="10" t="inlineStr">
        <is>
          <t>Complex</t>
        </is>
      </c>
      <c r="I16" s="22">
        <f>IF(C16=0,0,C16*INDEX('Component Catalogue'!$H$5:$J$150,MATCH($B16,'Component Catalogue'!$C$5:$C$150,0),MATCH(F16,'Component Catalogue'!$H$4:$J$4,0)))</f>
        <v/>
      </c>
      <c r="J16" s="22">
        <f>IF(D16=0,0,D16*INDEX('Component Catalogue'!$H$5:$J$150,MATCH($B16,'Component Catalogue'!$C$5:$C$150,0),MATCH(G16,'Component Catalogue'!$H$4:$J$4,0)))</f>
        <v/>
      </c>
      <c r="K16" s="22">
        <f>IF(E16=0,0,E16*INDEX('Component Catalogue'!$H$5:$J$150,MATCH($B16,'Component Catalogue'!$C$5:$C$150,0),MATCH(H16,'Component Catalogue'!$H$4:$J$4,0)))</f>
        <v/>
      </c>
      <c r="L16" s="39">
        <f>IF(C16&gt;0,$A16&amp;"|"&amp;COUNTIFS($A$5:$A16,$A16,C$5:C16,"&gt;0"),"")</f>
        <v/>
      </c>
      <c r="M16" s="39">
        <f>IF(D16&gt;0,$A16&amp;"|"&amp;COUNTIFS($A$5:$A16,$A16,D$5:D16,"&gt;0"),"")</f>
        <v/>
      </c>
      <c r="N16" s="39">
        <f>IF(E16&gt;0,$A16&amp;"|"&amp;COUNTIFS($A$5:$A16,$A16,E$5:E16,"&gt;0"),"")</f>
        <v/>
      </c>
    </row>
    <row r="17">
      <c r="A17" s="4" t="inlineStr">
        <is>
          <t>List / search page</t>
        </is>
      </c>
      <c r="B17" s="5" t="inlineStr">
        <is>
          <t>Search box &amp; suggestions</t>
        </is>
      </c>
      <c r="C17" s="10" t="n">
        <v>0</v>
      </c>
      <c r="D17" s="10" t="n">
        <v>1</v>
      </c>
      <c r="E17" s="10" t="n">
        <v>1</v>
      </c>
      <c r="F17" s="10" t="inlineStr">
        <is>
          <t>-</t>
        </is>
      </c>
      <c r="G17" s="10" t="inlineStr">
        <is>
          <t>Simple</t>
        </is>
      </c>
      <c r="H17" s="10" t="inlineStr">
        <is>
          <t>Medium</t>
        </is>
      </c>
      <c r="I17" s="22">
        <f>IF(C17=0,0,C17*INDEX('Component Catalogue'!$H$5:$J$150,MATCH($B17,'Component Catalogue'!$C$5:$C$150,0),MATCH(F17,'Component Catalogue'!$H$4:$J$4,0)))</f>
        <v/>
      </c>
      <c r="J17" s="22">
        <f>IF(D17=0,0,D17*INDEX('Component Catalogue'!$H$5:$J$150,MATCH($B17,'Component Catalogue'!$C$5:$C$150,0),MATCH(G17,'Component Catalogue'!$H$4:$J$4,0)))</f>
        <v/>
      </c>
      <c r="K17" s="22">
        <f>IF(E17=0,0,E17*INDEX('Component Catalogue'!$H$5:$J$150,MATCH($B17,'Component Catalogue'!$C$5:$C$150,0),MATCH(H17,'Component Catalogue'!$H$4:$J$4,0)))</f>
        <v/>
      </c>
      <c r="L17" s="39">
        <f>IF(C17&gt;0,$A17&amp;"|"&amp;COUNTIFS($A$5:$A17,$A17,C$5:C17,"&gt;0"),"")</f>
        <v/>
      </c>
      <c r="M17" s="39">
        <f>IF(D17&gt;0,$A17&amp;"|"&amp;COUNTIFS($A$5:$A17,$A17,D$5:D17,"&gt;0"),"")</f>
        <v/>
      </c>
      <c r="N17" s="39">
        <f>IF(E17&gt;0,$A17&amp;"|"&amp;COUNTIFS($A$5:$A17,$A17,E$5:E17,"&gt;0"),"")</f>
        <v/>
      </c>
    </row>
    <row r="18">
      <c r="A18" s="4" t="inlineStr">
        <is>
          <t>List / search page</t>
        </is>
      </c>
      <c r="B18" s="5" t="inlineStr">
        <is>
          <t>Row actions &amp; bulk selection</t>
        </is>
      </c>
      <c r="C18" s="10" t="n">
        <v>0</v>
      </c>
      <c r="D18" s="10" t="n">
        <v>1</v>
      </c>
      <c r="E18" s="10" t="n">
        <v>1</v>
      </c>
      <c r="F18" s="10" t="inlineStr">
        <is>
          <t>-</t>
        </is>
      </c>
      <c r="G18" s="10" t="inlineStr">
        <is>
          <t>Medium</t>
        </is>
      </c>
      <c r="H18" s="10" t="inlineStr">
        <is>
          <t>Complex</t>
        </is>
      </c>
      <c r="I18" s="22">
        <f>IF(C18=0,0,C18*INDEX('Component Catalogue'!$H$5:$J$150,MATCH($B18,'Component Catalogue'!$C$5:$C$150,0),MATCH(F18,'Component Catalogue'!$H$4:$J$4,0)))</f>
        <v/>
      </c>
      <c r="J18" s="22">
        <f>IF(D18=0,0,D18*INDEX('Component Catalogue'!$H$5:$J$150,MATCH($B18,'Component Catalogue'!$C$5:$C$150,0),MATCH(G18,'Component Catalogue'!$H$4:$J$4,0)))</f>
        <v/>
      </c>
      <c r="K18" s="22">
        <f>IF(E18=0,0,E18*INDEX('Component Catalogue'!$H$5:$J$150,MATCH($B18,'Component Catalogue'!$C$5:$C$150,0),MATCH(H18,'Component Catalogue'!$H$4:$J$4,0)))</f>
        <v/>
      </c>
      <c r="L18" s="39">
        <f>IF(C18&gt;0,$A18&amp;"|"&amp;COUNTIFS($A$5:$A18,$A18,C$5:C18,"&gt;0"),"")</f>
        <v/>
      </c>
      <c r="M18" s="39">
        <f>IF(D18&gt;0,$A18&amp;"|"&amp;COUNTIFS($A$5:$A18,$A18,D$5:D18,"&gt;0"),"")</f>
        <v/>
      </c>
      <c r="N18" s="39">
        <f>IF(E18&gt;0,$A18&amp;"|"&amp;COUNTIFS($A$5:$A18,$A18,E$5:E18,"&gt;0"),"")</f>
        <v/>
      </c>
    </row>
    <row r="19">
      <c r="A19" s="4" t="inlineStr">
        <is>
          <t>List / search page</t>
        </is>
      </c>
      <c r="B19" s="5" t="inlineStr">
        <is>
          <t>Data export (CSV / Excel)</t>
        </is>
      </c>
      <c r="C19" s="10" t="n">
        <v>0</v>
      </c>
      <c r="D19" s="10" t="n">
        <v>1</v>
      </c>
      <c r="E19" s="10" t="n">
        <v>1</v>
      </c>
      <c r="F19" s="10" t="inlineStr">
        <is>
          <t>-</t>
        </is>
      </c>
      <c r="G19" s="10" t="inlineStr">
        <is>
          <t>Simple</t>
        </is>
      </c>
      <c r="H19" s="10" t="inlineStr">
        <is>
          <t>Medium</t>
        </is>
      </c>
      <c r="I19" s="22">
        <f>IF(C19=0,0,C19*INDEX('Component Catalogue'!$H$5:$J$150,MATCH($B19,'Component Catalogue'!$C$5:$C$150,0),MATCH(F19,'Component Catalogue'!$H$4:$J$4,0)))</f>
        <v/>
      </c>
      <c r="J19" s="22">
        <f>IF(D19=0,0,D19*INDEX('Component Catalogue'!$H$5:$J$150,MATCH($B19,'Component Catalogue'!$C$5:$C$150,0),MATCH(G19,'Component Catalogue'!$H$4:$J$4,0)))</f>
        <v/>
      </c>
      <c r="K19" s="22">
        <f>IF(E19=0,0,E19*INDEX('Component Catalogue'!$H$5:$J$150,MATCH($B19,'Component Catalogue'!$C$5:$C$150,0),MATCH(H19,'Component Catalogue'!$H$4:$J$4,0)))</f>
        <v/>
      </c>
      <c r="L19" s="39">
        <f>IF(C19&gt;0,$A19&amp;"|"&amp;COUNTIFS($A$5:$A19,$A19,C$5:C19,"&gt;0"),"")</f>
        <v/>
      </c>
      <c r="M19" s="39">
        <f>IF(D19&gt;0,$A19&amp;"|"&amp;COUNTIFS($A$5:$A19,$A19,D$5:D19,"&gt;0"),"")</f>
        <v/>
      </c>
      <c r="N19" s="39">
        <f>IF(E19&gt;0,$A19&amp;"|"&amp;COUNTIFS($A$5:$A19,$A19,E$5:E19,"&gt;0"),"")</f>
        <v/>
      </c>
    </row>
    <row r="20">
      <c r="A20" s="4" t="inlineStr">
        <is>
          <t>List / search page</t>
        </is>
      </c>
      <c r="B20" s="5" t="inlineStr">
        <is>
          <t>Empty, loading &amp; error states</t>
        </is>
      </c>
      <c r="C20" s="10" t="n">
        <v>1</v>
      </c>
      <c r="D20" s="10" t="n">
        <v>1</v>
      </c>
      <c r="E20" s="10" t="n">
        <v>1</v>
      </c>
      <c r="F20" s="10" t="inlineStr">
        <is>
          <t>Simple</t>
        </is>
      </c>
      <c r="G20" s="10" t="inlineStr">
        <is>
          <t>Medium</t>
        </is>
      </c>
      <c r="H20" s="10" t="inlineStr">
        <is>
          <t>Medium</t>
        </is>
      </c>
      <c r="I20" s="22">
        <f>IF(C20=0,0,C20*INDEX('Component Catalogue'!$H$5:$J$150,MATCH($B20,'Component Catalogue'!$C$5:$C$150,0),MATCH(F20,'Component Catalogue'!$H$4:$J$4,0)))</f>
        <v/>
      </c>
      <c r="J20" s="22">
        <f>IF(D20=0,0,D20*INDEX('Component Catalogue'!$H$5:$J$150,MATCH($B20,'Component Catalogue'!$C$5:$C$150,0),MATCH(G20,'Component Catalogue'!$H$4:$J$4,0)))</f>
        <v/>
      </c>
      <c r="K20" s="22">
        <f>IF(E20=0,0,E20*INDEX('Component Catalogue'!$H$5:$J$150,MATCH($B20,'Component Catalogue'!$C$5:$C$150,0),MATCH(H20,'Component Catalogue'!$H$4:$J$4,0)))</f>
        <v/>
      </c>
      <c r="L20" s="39">
        <f>IF(C20&gt;0,$A20&amp;"|"&amp;COUNTIFS($A$5:$A20,$A20,C$5:C20,"&gt;0"),"")</f>
        <v/>
      </c>
      <c r="M20" s="39">
        <f>IF(D20&gt;0,$A20&amp;"|"&amp;COUNTIFS($A$5:$A20,$A20,D$5:D20,"&gt;0"),"")</f>
        <v/>
      </c>
      <c r="N20" s="39">
        <f>IF(E20&gt;0,$A20&amp;"|"&amp;COUNTIFS($A$5:$A20,$A20,E$5:E20,"&gt;0"),"")</f>
        <v/>
      </c>
    </row>
    <row r="21">
      <c r="A21" s="4" t="inlineStr">
        <is>
          <t>Detail / record page</t>
        </is>
      </c>
      <c r="B21" s="5" t="inlineStr">
        <is>
          <t>Detail / summary panel</t>
        </is>
      </c>
      <c r="C21" s="10" t="n">
        <v>1</v>
      </c>
      <c r="D21" s="10" t="n">
        <v>1</v>
      </c>
      <c r="E21" s="10" t="n">
        <v>1</v>
      </c>
      <c r="F21" s="10" t="inlineStr">
        <is>
          <t>Simple</t>
        </is>
      </c>
      <c r="G21" s="10" t="inlineStr">
        <is>
          <t>Medium</t>
        </is>
      </c>
      <c r="H21" s="10" t="inlineStr">
        <is>
          <t>Complex</t>
        </is>
      </c>
      <c r="I21" s="22">
        <f>IF(C21=0,0,C21*INDEX('Component Catalogue'!$H$5:$J$150,MATCH($B21,'Component Catalogue'!$C$5:$C$150,0),MATCH(F21,'Component Catalogue'!$H$4:$J$4,0)))</f>
        <v/>
      </c>
      <c r="J21" s="22">
        <f>IF(D21=0,0,D21*INDEX('Component Catalogue'!$H$5:$J$150,MATCH($B21,'Component Catalogue'!$C$5:$C$150,0),MATCH(G21,'Component Catalogue'!$H$4:$J$4,0)))</f>
        <v/>
      </c>
      <c r="K21" s="22">
        <f>IF(E21=0,0,E21*INDEX('Component Catalogue'!$H$5:$J$150,MATCH($B21,'Component Catalogue'!$C$5:$C$150,0),MATCH(H21,'Component Catalogue'!$H$4:$J$4,0)))</f>
        <v/>
      </c>
      <c r="L21" s="39">
        <f>IF(C21&gt;0,$A21&amp;"|"&amp;COUNTIFS($A$5:$A21,$A21,C$5:C21,"&gt;0"),"")</f>
        <v/>
      </c>
      <c r="M21" s="39">
        <f>IF(D21&gt;0,$A21&amp;"|"&amp;COUNTIFS($A$5:$A21,$A21,D$5:D21,"&gt;0"),"")</f>
        <v/>
      </c>
      <c r="N21" s="39">
        <f>IF(E21&gt;0,$A21&amp;"|"&amp;COUNTIFS($A$5:$A21,$A21,E$5:E21,"&gt;0"),"")</f>
        <v/>
      </c>
    </row>
    <row r="22">
      <c r="A22" s="4" t="inlineStr">
        <is>
          <t>Detail / record page</t>
        </is>
      </c>
      <c r="B22" s="5" t="inlineStr">
        <is>
          <t>Breadcrumbs &amp; tabs</t>
        </is>
      </c>
      <c r="C22" s="10" t="n">
        <v>0</v>
      </c>
      <c r="D22" s="10" t="n">
        <v>1</v>
      </c>
      <c r="E22" s="10" t="n">
        <v>1</v>
      </c>
      <c r="F22" s="10" t="inlineStr">
        <is>
          <t>-</t>
        </is>
      </c>
      <c r="G22" s="10" t="inlineStr">
        <is>
          <t>Medium</t>
        </is>
      </c>
      <c r="H22" s="10" t="inlineStr">
        <is>
          <t>Complex</t>
        </is>
      </c>
      <c r="I22" s="22">
        <f>IF(C22=0,0,C22*INDEX('Component Catalogue'!$H$5:$J$150,MATCH($B22,'Component Catalogue'!$C$5:$C$150,0),MATCH(F22,'Component Catalogue'!$H$4:$J$4,0)))</f>
        <v/>
      </c>
      <c r="J22" s="22">
        <f>IF(D22=0,0,D22*INDEX('Component Catalogue'!$H$5:$J$150,MATCH($B22,'Component Catalogue'!$C$5:$C$150,0),MATCH(G22,'Component Catalogue'!$H$4:$J$4,0)))</f>
        <v/>
      </c>
      <c r="K22" s="22">
        <f>IF(E22=0,0,E22*INDEX('Component Catalogue'!$H$5:$J$150,MATCH($B22,'Component Catalogue'!$C$5:$C$150,0),MATCH(H22,'Component Catalogue'!$H$4:$J$4,0)))</f>
        <v/>
      </c>
      <c r="L22" s="39">
        <f>IF(C22&gt;0,$A22&amp;"|"&amp;COUNTIFS($A$5:$A22,$A22,C$5:C22,"&gt;0"),"")</f>
        <v/>
      </c>
      <c r="M22" s="39">
        <f>IF(D22&gt;0,$A22&amp;"|"&amp;COUNTIFS($A$5:$A22,$A22,D$5:D22,"&gt;0"),"")</f>
        <v/>
      </c>
      <c r="N22" s="39">
        <f>IF(E22&gt;0,$A22&amp;"|"&amp;COUNTIFS($A$5:$A22,$A22,E$5:E22,"&gt;0"),"")</f>
        <v/>
      </c>
    </row>
    <row r="23">
      <c r="A23" s="4" t="inlineStr">
        <is>
          <t>Detail / record page</t>
        </is>
      </c>
      <c r="B23" s="5" t="inlineStr">
        <is>
          <t>Data table</t>
        </is>
      </c>
      <c r="C23" s="10" t="n">
        <v>0</v>
      </c>
      <c r="D23" s="10" t="n">
        <v>1</v>
      </c>
      <c r="E23" s="10" t="n">
        <v>2</v>
      </c>
      <c r="F23" s="10" t="inlineStr">
        <is>
          <t>-</t>
        </is>
      </c>
      <c r="G23" s="10" t="inlineStr">
        <is>
          <t>Simple</t>
        </is>
      </c>
      <c r="H23" s="10" t="inlineStr">
        <is>
          <t>Medium</t>
        </is>
      </c>
      <c r="I23" s="22">
        <f>IF(C23=0,0,C23*INDEX('Component Catalogue'!$H$5:$J$150,MATCH($B23,'Component Catalogue'!$C$5:$C$150,0),MATCH(F23,'Component Catalogue'!$H$4:$J$4,0)))</f>
        <v/>
      </c>
      <c r="J23" s="22">
        <f>IF(D23=0,0,D23*INDEX('Component Catalogue'!$H$5:$J$150,MATCH($B23,'Component Catalogue'!$C$5:$C$150,0),MATCH(G23,'Component Catalogue'!$H$4:$J$4,0)))</f>
        <v/>
      </c>
      <c r="K23" s="22">
        <f>IF(E23=0,0,E23*INDEX('Component Catalogue'!$H$5:$J$150,MATCH($B23,'Component Catalogue'!$C$5:$C$150,0),MATCH(H23,'Component Catalogue'!$H$4:$J$4,0)))</f>
        <v/>
      </c>
      <c r="L23" s="39">
        <f>IF(C23&gt;0,$A23&amp;"|"&amp;COUNTIFS($A$5:$A23,$A23,C$5:C23,"&gt;0"),"")</f>
        <v/>
      </c>
      <c r="M23" s="39">
        <f>IF(D23&gt;0,$A23&amp;"|"&amp;COUNTIFS($A$5:$A23,$A23,D$5:D23,"&gt;0"),"")</f>
        <v/>
      </c>
      <c r="N23" s="39">
        <f>IF(E23&gt;0,$A23&amp;"|"&amp;COUNTIFS($A$5:$A23,$A23,E$5:E23,"&gt;0"),"")</f>
        <v/>
      </c>
    </row>
    <row r="24">
      <c r="A24" s="4" t="inlineStr">
        <is>
          <t>Detail / record page</t>
        </is>
      </c>
      <c r="B24" s="5" t="inlineStr">
        <is>
          <t>Timeline / activity feed</t>
        </is>
      </c>
      <c r="C24" s="10" t="n">
        <v>0</v>
      </c>
      <c r="D24" s="10" t="n">
        <v>1</v>
      </c>
      <c r="E24" s="10" t="n">
        <v>1</v>
      </c>
      <c r="F24" s="10" t="inlineStr">
        <is>
          <t>-</t>
        </is>
      </c>
      <c r="G24" s="10" t="inlineStr">
        <is>
          <t>Simple</t>
        </is>
      </c>
      <c r="H24" s="10" t="inlineStr">
        <is>
          <t>Medium</t>
        </is>
      </c>
      <c r="I24" s="22">
        <f>IF(C24=0,0,C24*INDEX('Component Catalogue'!$H$5:$J$150,MATCH($B24,'Component Catalogue'!$C$5:$C$150,0),MATCH(F24,'Component Catalogue'!$H$4:$J$4,0)))</f>
        <v/>
      </c>
      <c r="J24" s="22">
        <f>IF(D24=0,0,D24*INDEX('Component Catalogue'!$H$5:$J$150,MATCH($B24,'Component Catalogue'!$C$5:$C$150,0),MATCH(G24,'Component Catalogue'!$H$4:$J$4,0)))</f>
        <v/>
      </c>
      <c r="K24" s="22">
        <f>IF(E24=0,0,E24*INDEX('Component Catalogue'!$H$5:$J$150,MATCH($B24,'Component Catalogue'!$C$5:$C$150,0),MATCH(H24,'Component Catalogue'!$H$4:$J$4,0)))</f>
        <v/>
      </c>
      <c r="L24" s="39">
        <f>IF(C24&gt;0,$A24&amp;"|"&amp;COUNTIFS($A$5:$A24,$A24,C$5:C24,"&gt;0"),"")</f>
        <v/>
      </c>
      <c r="M24" s="39">
        <f>IF(D24&gt;0,$A24&amp;"|"&amp;COUNTIFS($A$5:$A24,$A24,D$5:D24,"&gt;0"),"")</f>
        <v/>
      </c>
      <c r="N24" s="39">
        <f>IF(E24&gt;0,$A24&amp;"|"&amp;COUNTIFS($A$5:$A24,$A24,E$5:E24,"&gt;0"),"")</f>
        <v/>
      </c>
    </row>
    <row r="25">
      <c r="A25" s="4" t="inlineStr">
        <is>
          <t>Detail / record page</t>
        </is>
      </c>
      <c r="B25" s="5" t="inlineStr">
        <is>
          <t>Modal / dialog</t>
        </is>
      </c>
      <c r="C25" s="10" t="n">
        <v>0</v>
      </c>
      <c r="D25" s="10" t="n">
        <v>1</v>
      </c>
      <c r="E25" s="10" t="n">
        <v>2</v>
      </c>
      <c r="F25" s="10" t="inlineStr">
        <is>
          <t>-</t>
        </is>
      </c>
      <c r="G25" s="10" t="inlineStr">
        <is>
          <t>Simple</t>
        </is>
      </c>
      <c r="H25" s="10" t="inlineStr">
        <is>
          <t>Medium</t>
        </is>
      </c>
      <c r="I25" s="22">
        <f>IF(C25=0,0,C25*INDEX('Component Catalogue'!$H$5:$J$150,MATCH($B25,'Component Catalogue'!$C$5:$C$150,0),MATCH(F25,'Component Catalogue'!$H$4:$J$4,0)))</f>
        <v/>
      </c>
      <c r="J25" s="22">
        <f>IF(D25=0,0,D25*INDEX('Component Catalogue'!$H$5:$J$150,MATCH($B25,'Component Catalogue'!$C$5:$C$150,0),MATCH(G25,'Component Catalogue'!$H$4:$J$4,0)))</f>
        <v/>
      </c>
      <c r="K25" s="22">
        <f>IF(E25=0,0,E25*INDEX('Component Catalogue'!$H$5:$J$150,MATCH($B25,'Component Catalogue'!$C$5:$C$150,0),MATCH(H25,'Component Catalogue'!$H$4:$J$4,0)))</f>
        <v/>
      </c>
      <c r="L25" s="39">
        <f>IF(C25&gt;0,$A25&amp;"|"&amp;COUNTIFS($A$5:$A25,$A25,C$5:C25,"&gt;0"),"")</f>
        <v/>
      </c>
      <c r="M25" s="39">
        <f>IF(D25&gt;0,$A25&amp;"|"&amp;COUNTIFS($A$5:$A25,$A25,D$5:D25,"&gt;0"),"")</f>
        <v/>
      </c>
      <c r="N25" s="39">
        <f>IF(E25&gt;0,$A25&amp;"|"&amp;COUNTIFS($A$5:$A25,$A25,E$5:E25,"&gt;0"),"")</f>
        <v/>
      </c>
    </row>
    <row r="26">
      <c r="A26" s="4" t="inlineStr">
        <is>
          <t>Detail / record page</t>
        </is>
      </c>
      <c r="B26" s="5" t="inlineStr">
        <is>
          <t>Empty, loading &amp; error states</t>
        </is>
      </c>
      <c r="C26" s="10" t="n">
        <v>1</v>
      </c>
      <c r="D26" s="10" t="n">
        <v>1</v>
      </c>
      <c r="E26" s="10" t="n">
        <v>1</v>
      </c>
      <c r="F26" s="10" t="inlineStr">
        <is>
          <t>Simple</t>
        </is>
      </c>
      <c r="G26" s="10" t="inlineStr">
        <is>
          <t>Medium</t>
        </is>
      </c>
      <c r="H26" s="10" t="inlineStr">
        <is>
          <t>Medium</t>
        </is>
      </c>
      <c r="I26" s="22">
        <f>IF(C26=0,0,C26*INDEX('Component Catalogue'!$H$5:$J$150,MATCH($B26,'Component Catalogue'!$C$5:$C$150,0),MATCH(F26,'Component Catalogue'!$H$4:$J$4,0)))</f>
        <v/>
      </c>
      <c r="J26" s="22">
        <f>IF(D26=0,0,D26*INDEX('Component Catalogue'!$H$5:$J$150,MATCH($B26,'Component Catalogue'!$C$5:$C$150,0),MATCH(G26,'Component Catalogue'!$H$4:$J$4,0)))</f>
        <v/>
      </c>
      <c r="K26" s="22">
        <f>IF(E26=0,0,E26*INDEX('Component Catalogue'!$H$5:$J$150,MATCH($B26,'Component Catalogue'!$C$5:$C$150,0),MATCH(H26,'Component Catalogue'!$H$4:$J$4,0)))</f>
        <v/>
      </c>
      <c r="L26" s="39">
        <f>IF(C26&gt;0,$A26&amp;"|"&amp;COUNTIFS($A$5:$A26,$A26,C$5:C26,"&gt;0"),"")</f>
        <v/>
      </c>
      <c r="M26" s="39">
        <f>IF(D26&gt;0,$A26&amp;"|"&amp;COUNTIFS($A$5:$A26,$A26,D$5:D26,"&gt;0"),"")</f>
        <v/>
      </c>
      <c r="N26" s="39">
        <f>IF(E26&gt;0,$A26&amp;"|"&amp;COUNTIFS($A$5:$A26,$A26,E$5:E26,"&gt;0"),"")</f>
        <v/>
      </c>
    </row>
    <row r="27">
      <c r="A27" s="4" t="inlineStr">
        <is>
          <t>Form / data-entry page</t>
        </is>
      </c>
      <c r="B27" s="5" t="inlineStr">
        <is>
          <t>Form (create / edit)</t>
        </is>
      </c>
      <c r="C27" s="10" t="n">
        <v>1</v>
      </c>
      <c r="D27" s="10" t="n">
        <v>1</v>
      </c>
      <c r="E27" s="10" t="n">
        <v>1</v>
      </c>
      <c r="F27" s="10" t="inlineStr">
        <is>
          <t>Simple</t>
        </is>
      </c>
      <c r="G27" s="10" t="inlineStr">
        <is>
          <t>Medium</t>
        </is>
      </c>
      <c r="H27" s="10" t="inlineStr">
        <is>
          <t>Complex</t>
        </is>
      </c>
      <c r="I27" s="22">
        <f>IF(C27=0,0,C27*INDEX('Component Catalogue'!$H$5:$J$150,MATCH($B27,'Component Catalogue'!$C$5:$C$150,0),MATCH(F27,'Component Catalogue'!$H$4:$J$4,0)))</f>
        <v/>
      </c>
      <c r="J27" s="22">
        <f>IF(D27=0,0,D27*INDEX('Component Catalogue'!$H$5:$J$150,MATCH($B27,'Component Catalogue'!$C$5:$C$150,0),MATCH(G27,'Component Catalogue'!$H$4:$J$4,0)))</f>
        <v/>
      </c>
      <c r="K27" s="22">
        <f>IF(E27=0,0,E27*INDEX('Component Catalogue'!$H$5:$J$150,MATCH($B27,'Component Catalogue'!$C$5:$C$150,0),MATCH(H27,'Component Catalogue'!$H$4:$J$4,0)))</f>
        <v/>
      </c>
      <c r="L27" s="39">
        <f>IF(C27&gt;0,$A27&amp;"|"&amp;COUNTIFS($A$5:$A27,$A27,C$5:C27,"&gt;0"),"")</f>
        <v/>
      </c>
      <c r="M27" s="39">
        <f>IF(D27&gt;0,$A27&amp;"|"&amp;COUNTIFS($A$5:$A27,$A27,D$5:D27,"&gt;0"),"")</f>
        <v/>
      </c>
      <c r="N27" s="39">
        <f>IF(E27&gt;0,$A27&amp;"|"&amp;COUNTIFS($A$5:$A27,$A27,E$5:E27,"&gt;0"),"")</f>
        <v/>
      </c>
    </row>
    <row r="28">
      <c r="A28" s="4" t="inlineStr">
        <is>
          <t>Form / data-entry page</t>
        </is>
      </c>
      <c r="B28" s="5" t="inlineStr">
        <is>
          <t>Select / dropdown / combobox</t>
        </is>
      </c>
      <c r="C28" s="10" t="n">
        <v>1</v>
      </c>
      <c r="D28" s="10" t="n">
        <v>3</v>
      </c>
      <c r="E28" s="10" t="n">
        <v>6</v>
      </c>
      <c r="F28" s="10" t="inlineStr">
        <is>
          <t>Simple</t>
        </is>
      </c>
      <c r="G28" s="10" t="inlineStr">
        <is>
          <t>Simple</t>
        </is>
      </c>
      <c r="H28" s="10" t="inlineStr">
        <is>
          <t>Medium</t>
        </is>
      </c>
      <c r="I28" s="22">
        <f>IF(C28=0,0,C28*INDEX('Component Catalogue'!$H$5:$J$150,MATCH($B28,'Component Catalogue'!$C$5:$C$150,0),MATCH(F28,'Component Catalogue'!$H$4:$J$4,0)))</f>
        <v/>
      </c>
      <c r="J28" s="22">
        <f>IF(D28=0,0,D28*INDEX('Component Catalogue'!$H$5:$J$150,MATCH($B28,'Component Catalogue'!$C$5:$C$150,0),MATCH(G28,'Component Catalogue'!$H$4:$J$4,0)))</f>
        <v/>
      </c>
      <c r="K28" s="22">
        <f>IF(E28=0,0,E28*INDEX('Component Catalogue'!$H$5:$J$150,MATCH($B28,'Component Catalogue'!$C$5:$C$150,0),MATCH(H28,'Component Catalogue'!$H$4:$J$4,0)))</f>
        <v/>
      </c>
      <c r="L28" s="39">
        <f>IF(C28&gt;0,$A28&amp;"|"&amp;COUNTIFS($A$5:$A28,$A28,C$5:C28,"&gt;0"),"")</f>
        <v/>
      </c>
      <c r="M28" s="39">
        <f>IF(D28&gt;0,$A28&amp;"|"&amp;COUNTIFS($A$5:$A28,$A28,D$5:D28,"&gt;0"),"")</f>
        <v/>
      </c>
      <c r="N28" s="39">
        <f>IF(E28&gt;0,$A28&amp;"|"&amp;COUNTIFS($A$5:$A28,$A28,E$5:E28,"&gt;0"),"")</f>
        <v/>
      </c>
    </row>
    <row r="29">
      <c r="A29" s="4" t="inlineStr">
        <is>
          <t>Form / data-entry page</t>
        </is>
      </c>
      <c r="B29" s="5" t="inlineStr">
        <is>
          <t>Date / date-range picker</t>
        </is>
      </c>
      <c r="C29" s="10" t="n">
        <v>0</v>
      </c>
      <c r="D29" s="10" t="n">
        <v>1</v>
      </c>
      <c r="E29" s="10" t="n">
        <v>2</v>
      </c>
      <c r="F29" s="10" t="inlineStr">
        <is>
          <t>-</t>
        </is>
      </c>
      <c r="G29" s="10" t="inlineStr">
        <is>
          <t>Simple</t>
        </is>
      </c>
      <c r="H29" s="10" t="inlineStr">
        <is>
          <t>Medium</t>
        </is>
      </c>
      <c r="I29" s="22">
        <f>IF(C29=0,0,C29*INDEX('Component Catalogue'!$H$5:$J$150,MATCH($B29,'Component Catalogue'!$C$5:$C$150,0),MATCH(F29,'Component Catalogue'!$H$4:$J$4,0)))</f>
        <v/>
      </c>
      <c r="J29" s="22">
        <f>IF(D29=0,0,D29*INDEX('Component Catalogue'!$H$5:$J$150,MATCH($B29,'Component Catalogue'!$C$5:$C$150,0),MATCH(G29,'Component Catalogue'!$H$4:$J$4,0)))</f>
        <v/>
      </c>
      <c r="K29" s="22">
        <f>IF(E29=0,0,E29*INDEX('Component Catalogue'!$H$5:$J$150,MATCH($B29,'Component Catalogue'!$C$5:$C$150,0),MATCH(H29,'Component Catalogue'!$H$4:$J$4,0)))</f>
        <v/>
      </c>
      <c r="L29" s="39">
        <f>IF(C29&gt;0,$A29&amp;"|"&amp;COUNTIFS($A$5:$A29,$A29,C$5:C29,"&gt;0"),"")</f>
        <v/>
      </c>
      <c r="M29" s="39">
        <f>IF(D29&gt;0,$A29&amp;"|"&amp;COUNTIFS($A$5:$A29,$A29,D$5:D29,"&gt;0"),"")</f>
        <v/>
      </c>
      <c r="N29" s="39">
        <f>IF(E29&gt;0,$A29&amp;"|"&amp;COUNTIFS($A$5:$A29,$A29,E$5:E29,"&gt;0"),"")</f>
        <v/>
      </c>
    </row>
    <row r="30">
      <c r="A30" s="4" t="inlineStr">
        <is>
          <t>Form / data-entry page</t>
        </is>
      </c>
      <c r="B30" s="5" t="inlineStr">
        <is>
          <t>File upload</t>
        </is>
      </c>
      <c r="C30" s="10" t="n">
        <v>0</v>
      </c>
      <c r="D30" s="10" t="n">
        <v>1</v>
      </c>
      <c r="E30" s="10" t="n">
        <v>1</v>
      </c>
      <c r="F30" s="10" t="inlineStr">
        <is>
          <t>-</t>
        </is>
      </c>
      <c r="G30" s="10" t="inlineStr">
        <is>
          <t>Simple</t>
        </is>
      </c>
      <c r="H30" s="10" t="inlineStr">
        <is>
          <t>Medium</t>
        </is>
      </c>
      <c r="I30" s="22">
        <f>IF(C30=0,0,C30*INDEX('Component Catalogue'!$H$5:$J$150,MATCH($B30,'Component Catalogue'!$C$5:$C$150,0),MATCH(F30,'Component Catalogue'!$H$4:$J$4,0)))</f>
        <v/>
      </c>
      <c r="J30" s="22">
        <f>IF(D30=0,0,D30*INDEX('Component Catalogue'!$H$5:$J$150,MATCH($B30,'Component Catalogue'!$C$5:$C$150,0),MATCH(G30,'Component Catalogue'!$H$4:$J$4,0)))</f>
        <v/>
      </c>
      <c r="K30" s="22">
        <f>IF(E30=0,0,E30*INDEX('Component Catalogue'!$H$5:$J$150,MATCH($B30,'Component Catalogue'!$C$5:$C$150,0),MATCH(H30,'Component Catalogue'!$H$4:$J$4,0)))</f>
        <v/>
      </c>
      <c r="L30" s="39">
        <f>IF(C30&gt;0,$A30&amp;"|"&amp;COUNTIFS($A$5:$A30,$A30,C$5:C30,"&gt;0"),"")</f>
        <v/>
      </c>
      <c r="M30" s="39">
        <f>IF(D30&gt;0,$A30&amp;"|"&amp;COUNTIFS($A$5:$A30,$A30,D$5:D30,"&gt;0"),"")</f>
        <v/>
      </c>
      <c r="N30" s="39">
        <f>IF(E30&gt;0,$A30&amp;"|"&amp;COUNTIFS($A$5:$A30,$A30,E$5:E30,"&gt;0"),"")</f>
        <v/>
      </c>
    </row>
    <row r="31">
      <c r="A31" s="4" t="inlineStr">
        <is>
          <t>Form / data-entry page</t>
        </is>
      </c>
      <c r="B31" s="5" t="inlineStr">
        <is>
          <t>Empty, loading &amp; error states</t>
        </is>
      </c>
      <c r="C31" s="10" t="n">
        <v>1</v>
      </c>
      <c r="D31" s="10" t="n">
        <v>1</v>
      </c>
      <c r="E31" s="10" t="n">
        <v>1</v>
      </c>
      <c r="F31" s="10" t="inlineStr">
        <is>
          <t>Simple</t>
        </is>
      </c>
      <c r="G31" s="10" t="inlineStr">
        <is>
          <t>Medium</t>
        </is>
      </c>
      <c r="H31" s="10" t="inlineStr">
        <is>
          <t>Medium</t>
        </is>
      </c>
      <c r="I31" s="22">
        <f>IF(C31=0,0,C31*INDEX('Component Catalogue'!$H$5:$J$150,MATCH($B31,'Component Catalogue'!$C$5:$C$150,0),MATCH(F31,'Component Catalogue'!$H$4:$J$4,0)))</f>
        <v/>
      </c>
      <c r="J31" s="22">
        <f>IF(D31=0,0,D31*INDEX('Component Catalogue'!$H$5:$J$150,MATCH($B31,'Component Catalogue'!$C$5:$C$150,0),MATCH(G31,'Component Catalogue'!$H$4:$J$4,0)))</f>
        <v/>
      </c>
      <c r="K31" s="22">
        <f>IF(E31=0,0,E31*INDEX('Component Catalogue'!$H$5:$J$150,MATCH($B31,'Component Catalogue'!$C$5:$C$150,0),MATCH(H31,'Component Catalogue'!$H$4:$J$4,0)))</f>
        <v/>
      </c>
      <c r="L31" s="39">
        <f>IF(C31&gt;0,$A31&amp;"|"&amp;COUNTIFS($A$5:$A31,$A31,C$5:C31,"&gt;0"),"")</f>
        <v/>
      </c>
      <c r="M31" s="39">
        <f>IF(D31&gt;0,$A31&amp;"|"&amp;COUNTIFS($A$5:$A31,$A31,D$5:D31,"&gt;0"),"")</f>
        <v/>
      </c>
      <c r="N31" s="39">
        <f>IF(E31&gt;0,$A31&amp;"|"&amp;COUNTIFS($A$5:$A31,$A31,E$5:E31,"&gt;0"),"")</f>
        <v/>
      </c>
    </row>
    <row r="32">
      <c r="A32" s="4" t="inlineStr">
        <is>
          <t>Wizard / guided workflow page</t>
        </is>
      </c>
      <c r="B32" s="5" t="inlineStr">
        <is>
          <t>Multi-step wizard</t>
        </is>
      </c>
      <c r="C32" s="10" t="n">
        <v>1</v>
      </c>
      <c r="D32" s="10" t="n">
        <v>1</v>
      </c>
      <c r="E32" s="10" t="n">
        <v>1</v>
      </c>
      <c r="F32" s="10" t="inlineStr">
        <is>
          <t>Simple</t>
        </is>
      </c>
      <c r="G32" s="10" t="inlineStr">
        <is>
          <t>Medium</t>
        </is>
      </c>
      <c r="H32" s="10" t="inlineStr">
        <is>
          <t>Complex</t>
        </is>
      </c>
      <c r="I32" s="22">
        <f>IF(C32=0,0,C32*INDEX('Component Catalogue'!$H$5:$J$150,MATCH($B32,'Component Catalogue'!$C$5:$C$150,0),MATCH(F32,'Component Catalogue'!$H$4:$J$4,0)))</f>
        <v/>
      </c>
      <c r="J32" s="22">
        <f>IF(D32=0,0,D32*INDEX('Component Catalogue'!$H$5:$J$150,MATCH($B32,'Component Catalogue'!$C$5:$C$150,0),MATCH(G32,'Component Catalogue'!$H$4:$J$4,0)))</f>
        <v/>
      </c>
      <c r="K32" s="22">
        <f>IF(E32=0,0,E32*INDEX('Component Catalogue'!$H$5:$J$150,MATCH($B32,'Component Catalogue'!$C$5:$C$150,0),MATCH(H32,'Component Catalogue'!$H$4:$J$4,0)))</f>
        <v/>
      </c>
      <c r="L32" s="39">
        <f>IF(C32&gt;0,$A32&amp;"|"&amp;COUNTIFS($A$5:$A32,$A32,C$5:C32,"&gt;0"),"")</f>
        <v/>
      </c>
      <c r="M32" s="39">
        <f>IF(D32&gt;0,$A32&amp;"|"&amp;COUNTIFS($A$5:$A32,$A32,D$5:D32,"&gt;0"),"")</f>
        <v/>
      </c>
      <c r="N32" s="39">
        <f>IF(E32&gt;0,$A32&amp;"|"&amp;COUNTIFS($A$5:$A32,$A32,E$5:E32,"&gt;0"),"")</f>
        <v/>
      </c>
    </row>
    <row r="33">
      <c r="A33" s="4" t="inlineStr">
        <is>
          <t>Wizard / guided workflow page</t>
        </is>
      </c>
      <c r="B33" s="5" t="inlineStr">
        <is>
          <t>Select / dropdown / combobox</t>
        </is>
      </c>
      <c r="C33" s="10" t="n">
        <v>2</v>
      </c>
      <c r="D33" s="10" t="n">
        <v>4</v>
      </c>
      <c r="E33" s="10" t="n">
        <v>6</v>
      </c>
      <c r="F33" s="10" t="inlineStr">
        <is>
          <t>Simple</t>
        </is>
      </c>
      <c r="G33" s="10" t="inlineStr">
        <is>
          <t>Simple</t>
        </is>
      </c>
      <c r="H33" s="10" t="inlineStr">
        <is>
          <t>Medium</t>
        </is>
      </c>
      <c r="I33" s="22">
        <f>IF(C33=0,0,C33*INDEX('Component Catalogue'!$H$5:$J$150,MATCH($B33,'Component Catalogue'!$C$5:$C$150,0),MATCH(F33,'Component Catalogue'!$H$4:$J$4,0)))</f>
        <v/>
      </c>
      <c r="J33" s="22">
        <f>IF(D33=0,0,D33*INDEX('Component Catalogue'!$H$5:$J$150,MATCH($B33,'Component Catalogue'!$C$5:$C$150,0),MATCH(G33,'Component Catalogue'!$H$4:$J$4,0)))</f>
        <v/>
      </c>
      <c r="K33" s="22">
        <f>IF(E33=0,0,E33*INDEX('Component Catalogue'!$H$5:$J$150,MATCH($B33,'Component Catalogue'!$C$5:$C$150,0),MATCH(H33,'Component Catalogue'!$H$4:$J$4,0)))</f>
        <v/>
      </c>
      <c r="L33" s="39">
        <f>IF(C33&gt;0,$A33&amp;"|"&amp;COUNTIFS($A$5:$A33,$A33,C$5:C33,"&gt;0"),"")</f>
        <v/>
      </c>
      <c r="M33" s="39">
        <f>IF(D33&gt;0,$A33&amp;"|"&amp;COUNTIFS($A$5:$A33,$A33,D$5:D33,"&gt;0"),"")</f>
        <v/>
      </c>
      <c r="N33" s="39">
        <f>IF(E33&gt;0,$A33&amp;"|"&amp;COUNTIFS($A$5:$A33,$A33,E$5:E33,"&gt;0"),"")</f>
        <v/>
      </c>
    </row>
    <row r="34">
      <c r="A34" s="4" t="inlineStr">
        <is>
          <t>Wizard / guided workflow page</t>
        </is>
      </c>
      <c r="B34" s="5" t="inlineStr">
        <is>
          <t>Date / date-range picker</t>
        </is>
      </c>
      <c r="C34" s="10" t="n">
        <v>0</v>
      </c>
      <c r="D34" s="10" t="n">
        <v>1</v>
      </c>
      <c r="E34" s="10" t="n">
        <v>2</v>
      </c>
      <c r="F34" s="10" t="inlineStr">
        <is>
          <t>-</t>
        </is>
      </c>
      <c r="G34" s="10" t="inlineStr">
        <is>
          <t>Simple</t>
        </is>
      </c>
      <c r="H34" s="10" t="inlineStr">
        <is>
          <t>Medium</t>
        </is>
      </c>
      <c r="I34" s="22">
        <f>IF(C34=0,0,C34*INDEX('Component Catalogue'!$H$5:$J$150,MATCH($B34,'Component Catalogue'!$C$5:$C$150,0),MATCH(F34,'Component Catalogue'!$H$4:$J$4,0)))</f>
        <v/>
      </c>
      <c r="J34" s="22">
        <f>IF(D34=0,0,D34*INDEX('Component Catalogue'!$H$5:$J$150,MATCH($B34,'Component Catalogue'!$C$5:$C$150,0),MATCH(G34,'Component Catalogue'!$H$4:$J$4,0)))</f>
        <v/>
      </c>
      <c r="K34" s="22">
        <f>IF(E34=0,0,E34*INDEX('Component Catalogue'!$H$5:$J$150,MATCH($B34,'Component Catalogue'!$C$5:$C$150,0),MATCH(H34,'Component Catalogue'!$H$4:$J$4,0)))</f>
        <v/>
      </c>
      <c r="L34" s="39">
        <f>IF(C34&gt;0,$A34&amp;"|"&amp;COUNTIFS($A$5:$A34,$A34,C$5:C34,"&gt;0"),"")</f>
        <v/>
      </c>
      <c r="M34" s="39">
        <f>IF(D34&gt;0,$A34&amp;"|"&amp;COUNTIFS($A$5:$A34,$A34,D$5:D34,"&gt;0"),"")</f>
        <v/>
      </c>
      <c r="N34" s="39">
        <f>IF(E34&gt;0,$A34&amp;"|"&amp;COUNTIFS($A$5:$A34,$A34,E$5:E34,"&gt;0"),"")</f>
        <v/>
      </c>
    </row>
    <row r="35">
      <c r="A35" s="4" t="inlineStr">
        <is>
          <t>Wizard / guided workflow page</t>
        </is>
      </c>
      <c r="B35" s="5" t="inlineStr">
        <is>
          <t>Modal / dialog</t>
        </is>
      </c>
      <c r="C35" s="10" t="n">
        <v>1</v>
      </c>
      <c r="D35" s="10" t="n">
        <v>1</v>
      </c>
      <c r="E35" s="10" t="n">
        <v>2</v>
      </c>
      <c r="F35" s="10" t="inlineStr">
        <is>
          <t>Simple</t>
        </is>
      </c>
      <c r="G35" s="10" t="inlineStr">
        <is>
          <t>Simple</t>
        </is>
      </c>
      <c r="H35" s="10" t="inlineStr">
        <is>
          <t>Medium</t>
        </is>
      </c>
      <c r="I35" s="22">
        <f>IF(C35=0,0,C35*INDEX('Component Catalogue'!$H$5:$J$150,MATCH($B35,'Component Catalogue'!$C$5:$C$150,0),MATCH(F35,'Component Catalogue'!$H$4:$J$4,0)))</f>
        <v/>
      </c>
      <c r="J35" s="22">
        <f>IF(D35=0,0,D35*INDEX('Component Catalogue'!$H$5:$J$150,MATCH($B35,'Component Catalogue'!$C$5:$C$150,0),MATCH(G35,'Component Catalogue'!$H$4:$J$4,0)))</f>
        <v/>
      </c>
      <c r="K35" s="22">
        <f>IF(E35=0,0,E35*INDEX('Component Catalogue'!$H$5:$J$150,MATCH($B35,'Component Catalogue'!$C$5:$C$150,0),MATCH(H35,'Component Catalogue'!$H$4:$J$4,0)))</f>
        <v/>
      </c>
      <c r="L35" s="39">
        <f>IF(C35&gt;0,$A35&amp;"|"&amp;COUNTIFS($A$5:$A35,$A35,C$5:C35,"&gt;0"),"")</f>
        <v/>
      </c>
      <c r="M35" s="39">
        <f>IF(D35&gt;0,$A35&amp;"|"&amp;COUNTIFS($A$5:$A35,$A35,D$5:D35,"&gt;0"),"")</f>
        <v/>
      </c>
      <c r="N35" s="39">
        <f>IF(E35&gt;0,$A35&amp;"|"&amp;COUNTIFS($A$5:$A35,$A35,E$5:E35,"&gt;0"),"")</f>
        <v/>
      </c>
    </row>
    <row r="36">
      <c r="A36" s="4" t="inlineStr">
        <is>
          <t>Wizard / guided workflow page</t>
        </is>
      </c>
      <c r="B36" s="5" t="inlineStr">
        <is>
          <t>Empty, loading &amp; error states</t>
        </is>
      </c>
      <c r="C36" s="10" t="n">
        <v>1</v>
      </c>
      <c r="D36" s="10" t="n">
        <v>1</v>
      </c>
      <c r="E36" s="10" t="n">
        <v>1</v>
      </c>
      <c r="F36" s="10" t="inlineStr">
        <is>
          <t>Simple</t>
        </is>
      </c>
      <c r="G36" s="10" t="inlineStr">
        <is>
          <t>Medium</t>
        </is>
      </c>
      <c r="H36" s="10" t="inlineStr">
        <is>
          <t>Medium</t>
        </is>
      </c>
      <c r="I36" s="22">
        <f>IF(C36=0,0,C36*INDEX('Component Catalogue'!$H$5:$J$150,MATCH($B36,'Component Catalogue'!$C$5:$C$150,0),MATCH(F36,'Component Catalogue'!$H$4:$J$4,0)))</f>
        <v/>
      </c>
      <c r="J36" s="22">
        <f>IF(D36=0,0,D36*INDEX('Component Catalogue'!$H$5:$J$150,MATCH($B36,'Component Catalogue'!$C$5:$C$150,0),MATCH(G36,'Component Catalogue'!$H$4:$J$4,0)))</f>
        <v/>
      </c>
      <c r="K36" s="22">
        <f>IF(E36=0,0,E36*INDEX('Component Catalogue'!$H$5:$J$150,MATCH($B36,'Component Catalogue'!$C$5:$C$150,0),MATCH(H36,'Component Catalogue'!$H$4:$J$4,0)))</f>
        <v/>
      </c>
      <c r="L36" s="39">
        <f>IF(C36&gt;0,$A36&amp;"|"&amp;COUNTIFS($A$5:$A36,$A36,C$5:C36,"&gt;0"),"")</f>
        <v/>
      </c>
      <c r="M36" s="39">
        <f>IF(D36&gt;0,$A36&amp;"|"&amp;COUNTIFS($A$5:$A36,$A36,D$5:D36,"&gt;0"),"")</f>
        <v/>
      </c>
      <c r="N36" s="39">
        <f>IF(E36&gt;0,$A36&amp;"|"&amp;COUNTIFS($A$5:$A36,$A36,E$5:E36,"&gt;0"),"")</f>
        <v/>
      </c>
    </row>
    <row r="37">
      <c r="A37" s="4" t="inlineStr">
        <is>
          <t>Admin / configuration page</t>
        </is>
      </c>
      <c r="B37" s="5" t="inlineStr">
        <is>
          <t>User &amp; role management</t>
        </is>
      </c>
      <c r="C37" s="10" t="n">
        <v>1</v>
      </c>
      <c r="D37" s="10" t="n">
        <v>1</v>
      </c>
      <c r="E37" s="10" t="n">
        <v>1</v>
      </c>
      <c r="F37" s="10" t="inlineStr">
        <is>
          <t>Simple</t>
        </is>
      </c>
      <c r="G37" s="10" t="inlineStr">
        <is>
          <t>Medium</t>
        </is>
      </c>
      <c r="H37" s="10" t="inlineStr">
        <is>
          <t>Complex</t>
        </is>
      </c>
      <c r="I37" s="22">
        <f>IF(C37=0,0,C37*INDEX('Component Catalogue'!$H$5:$J$150,MATCH($B37,'Component Catalogue'!$C$5:$C$150,0),MATCH(F37,'Component Catalogue'!$H$4:$J$4,0)))</f>
        <v/>
      </c>
      <c r="J37" s="22">
        <f>IF(D37=0,0,D37*INDEX('Component Catalogue'!$H$5:$J$150,MATCH($B37,'Component Catalogue'!$C$5:$C$150,0),MATCH(G37,'Component Catalogue'!$H$4:$J$4,0)))</f>
        <v/>
      </c>
      <c r="K37" s="22">
        <f>IF(E37=0,0,E37*INDEX('Component Catalogue'!$H$5:$J$150,MATCH($B37,'Component Catalogue'!$C$5:$C$150,0),MATCH(H37,'Component Catalogue'!$H$4:$J$4,0)))</f>
        <v/>
      </c>
      <c r="L37" s="39">
        <f>IF(C37&gt;0,$A37&amp;"|"&amp;COUNTIFS($A$5:$A37,$A37,C$5:C37,"&gt;0"),"")</f>
        <v/>
      </c>
      <c r="M37" s="39">
        <f>IF(D37&gt;0,$A37&amp;"|"&amp;COUNTIFS($A$5:$A37,$A37,D$5:D37,"&gt;0"),"")</f>
        <v/>
      </c>
      <c r="N37" s="39">
        <f>IF(E37&gt;0,$A37&amp;"|"&amp;COUNTIFS($A$5:$A37,$A37,E$5:E37,"&gt;0"),"")</f>
        <v/>
      </c>
    </row>
    <row r="38">
      <c r="A38" s="4" t="inlineStr">
        <is>
          <t>Admin / configuration page</t>
        </is>
      </c>
      <c r="B38" s="5" t="inlineStr">
        <is>
          <t>Data table</t>
        </is>
      </c>
      <c r="C38" s="10" t="n">
        <v>1</v>
      </c>
      <c r="D38" s="10" t="n">
        <v>1</v>
      </c>
      <c r="E38" s="10" t="n">
        <v>1</v>
      </c>
      <c r="F38" s="10" t="inlineStr">
        <is>
          <t>Simple</t>
        </is>
      </c>
      <c r="G38" s="10" t="inlineStr">
        <is>
          <t>Medium</t>
        </is>
      </c>
      <c r="H38" s="10" t="inlineStr">
        <is>
          <t>Complex</t>
        </is>
      </c>
      <c r="I38" s="22">
        <f>IF(C38=0,0,C38*INDEX('Component Catalogue'!$H$5:$J$150,MATCH($B38,'Component Catalogue'!$C$5:$C$150,0),MATCH(F38,'Component Catalogue'!$H$4:$J$4,0)))</f>
        <v/>
      </c>
      <c r="J38" s="22">
        <f>IF(D38=0,0,D38*INDEX('Component Catalogue'!$H$5:$J$150,MATCH($B38,'Component Catalogue'!$C$5:$C$150,0),MATCH(G38,'Component Catalogue'!$H$4:$J$4,0)))</f>
        <v/>
      </c>
      <c r="K38" s="22">
        <f>IF(E38=0,0,E38*INDEX('Component Catalogue'!$H$5:$J$150,MATCH($B38,'Component Catalogue'!$C$5:$C$150,0),MATCH(H38,'Component Catalogue'!$H$4:$J$4,0)))</f>
        <v/>
      </c>
      <c r="L38" s="39">
        <f>IF(C38&gt;0,$A38&amp;"|"&amp;COUNTIFS($A$5:$A38,$A38,C$5:C38,"&gt;0"),"")</f>
        <v/>
      </c>
      <c r="M38" s="39">
        <f>IF(D38&gt;0,$A38&amp;"|"&amp;COUNTIFS($A$5:$A38,$A38,D$5:D38,"&gt;0"),"")</f>
        <v/>
      </c>
      <c r="N38" s="39">
        <f>IF(E38&gt;0,$A38&amp;"|"&amp;COUNTIFS($A$5:$A38,$A38,E$5:E38,"&gt;0"),"")</f>
        <v/>
      </c>
    </row>
    <row r="39">
      <c r="A39" s="4" t="inlineStr">
        <is>
          <t>Admin / configuration page</t>
        </is>
      </c>
      <c r="B39" s="5" t="inlineStr">
        <is>
          <t>Settings / preferences panel</t>
        </is>
      </c>
      <c r="C39" s="10" t="n">
        <v>1</v>
      </c>
      <c r="D39" s="10" t="n">
        <v>1</v>
      </c>
      <c r="E39" s="10" t="n">
        <v>1</v>
      </c>
      <c r="F39" s="10" t="inlineStr">
        <is>
          <t>Simple</t>
        </is>
      </c>
      <c r="G39" s="10" t="inlineStr">
        <is>
          <t>Medium</t>
        </is>
      </c>
      <c r="H39" s="10" t="inlineStr">
        <is>
          <t>Complex</t>
        </is>
      </c>
      <c r="I39" s="22">
        <f>IF(C39=0,0,C39*INDEX('Component Catalogue'!$H$5:$J$150,MATCH($B39,'Component Catalogue'!$C$5:$C$150,0),MATCH(F39,'Component Catalogue'!$H$4:$J$4,0)))</f>
        <v/>
      </c>
      <c r="J39" s="22">
        <f>IF(D39=0,0,D39*INDEX('Component Catalogue'!$H$5:$J$150,MATCH($B39,'Component Catalogue'!$C$5:$C$150,0),MATCH(G39,'Component Catalogue'!$H$4:$J$4,0)))</f>
        <v/>
      </c>
      <c r="K39" s="22">
        <f>IF(E39=0,0,E39*INDEX('Component Catalogue'!$H$5:$J$150,MATCH($B39,'Component Catalogue'!$C$5:$C$150,0),MATCH(H39,'Component Catalogue'!$H$4:$J$4,0)))</f>
        <v/>
      </c>
      <c r="L39" s="39">
        <f>IF(C39&gt;0,$A39&amp;"|"&amp;COUNTIFS($A$5:$A39,$A39,C$5:C39,"&gt;0"),"")</f>
        <v/>
      </c>
      <c r="M39" s="39">
        <f>IF(D39&gt;0,$A39&amp;"|"&amp;COUNTIFS($A$5:$A39,$A39,D$5:D39,"&gt;0"),"")</f>
        <v/>
      </c>
      <c r="N39" s="39">
        <f>IF(E39&gt;0,$A39&amp;"|"&amp;COUNTIFS($A$5:$A39,$A39,E$5:E39,"&gt;0"),"")</f>
        <v/>
      </c>
    </row>
    <row r="40">
      <c r="A40" s="4" t="inlineStr">
        <is>
          <t>Admin / configuration page</t>
        </is>
      </c>
      <c r="B40" s="5" t="inlineStr">
        <is>
          <t>Role &amp; permission editor</t>
        </is>
      </c>
      <c r="C40" s="10" t="n">
        <v>0</v>
      </c>
      <c r="D40" s="10" t="n">
        <v>1</v>
      </c>
      <c r="E40" s="10" t="n">
        <v>1</v>
      </c>
      <c r="F40" s="10" t="inlineStr">
        <is>
          <t>-</t>
        </is>
      </c>
      <c r="G40" s="10" t="inlineStr">
        <is>
          <t>Simple</t>
        </is>
      </c>
      <c r="H40" s="10" t="inlineStr">
        <is>
          <t>Medium</t>
        </is>
      </c>
      <c r="I40" s="22">
        <f>IF(C40=0,0,C40*INDEX('Component Catalogue'!$H$5:$J$150,MATCH($B40,'Component Catalogue'!$C$5:$C$150,0),MATCH(F40,'Component Catalogue'!$H$4:$J$4,0)))</f>
        <v/>
      </c>
      <c r="J40" s="22">
        <f>IF(D40=0,0,D40*INDEX('Component Catalogue'!$H$5:$J$150,MATCH($B40,'Component Catalogue'!$C$5:$C$150,0),MATCH(G40,'Component Catalogue'!$H$4:$J$4,0)))</f>
        <v/>
      </c>
      <c r="K40" s="22">
        <f>IF(E40=0,0,E40*INDEX('Component Catalogue'!$H$5:$J$150,MATCH($B40,'Component Catalogue'!$C$5:$C$150,0),MATCH(H40,'Component Catalogue'!$H$4:$J$4,0)))</f>
        <v/>
      </c>
      <c r="L40" s="39">
        <f>IF(C40&gt;0,$A40&amp;"|"&amp;COUNTIFS($A$5:$A40,$A40,C$5:C40,"&gt;0"),"")</f>
        <v/>
      </c>
      <c r="M40" s="39">
        <f>IF(D40&gt;0,$A40&amp;"|"&amp;COUNTIFS($A$5:$A40,$A40,D$5:D40,"&gt;0"),"")</f>
        <v/>
      </c>
      <c r="N40" s="39">
        <f>IF(E40&gt;0,$A40&amp;"|"&amp;COUNTIFS($A$5:$A40,$A40,E$5:E40,"&gt;0"),"")</f>
        <v/>
      </c>
    </row>
    <row r="41">
      <c r="A41" s="4" t="inlineStr">
        <is>
          <t>Admin / configuration page</t>
        </is>
      </c>
      <c r="B41" s="5" t="inlineStr">
        <is>
          <t>Audit log viewer</t>
        </is>
      </c>
      <c r="C41" s="10" t="n">
        <v>0</v>
      </c>
      <c r="D41" s="10" t="n">
        <v>1</v>
      </c>
      <c r="E41" s="10" t="n">
        <v>1</v>
      </c>
      <c r="F41" s="10" t="inlineStr">
        <is>
          <t>-</t>
        </is>
      </c>
      <c r="G41" s="10" t="inlineStr">
        <is>
          <t>Simple</t>
        </is>
      </c>
      <c r="H41" s="10" t="inlineStr">
        <is>
          <t>Medium</t>
        </is>
      </c>
      <c r="I41" s="22">
        <f>IF(C41=0,0,C41*INDEX('Component Catalogue'!$H$5:$J$150,MATCH($B41,'Component Catalogue'!$C$5:$C$150,0),MATCH(F41,'Component Catalogue'!$H$4:$J$4,0)))</f>
        <v/>
      </c>
      <c r="J41" s="22">
        <f>IF(D41=0,0,D41*INDEX('Component Catalogue'!$H$5:$J$150,MATCH($B41,'Component Catalogue'!$C$5:$C$150,0),MATCH(G41,'Component Catalogue'!$H$4:$J$4,0)))</f>
        <v/>
      </c>
      <c r="K41" s="22">
        <f>IF(E41=0,0,E41*INDEX('Component Catalogue'!$H$5:$J$150,MATCH($B41,'Component Catalogue'!$C$5:$C$150,0),MATCH(H41,'Component Catalogue'!$H$4:$J$4,0)))</f>
        <v/>
      </c>
      <c r="L41" s="39">
        <f>IF(C41&gt;0,$A41&amp;"|"&amp;COUNTIFS($A$5:$A41,$A41,C$5:C41,"&gt;0"),"")</f>
        <v/>
      </c>
      <c r="M41" s="39">
        <f>IF(D41&gt;0,$A41&amp;"|"&amp;COUNTIFS($A$5:$A41,$A41,D$5:D41,"&gt;0"),"")</f>
        <v/>
      </c>
      <c r="N41" s="39">
        <f>IF(E41&gt;0,$A41&amp;"|"&amp;COUNTIFS($A$5:$A41,$A41,E$5:E41,"&gt;0"),"")</f>
        <v/>
      </c>
    </row>
    <row r="42">
      <c r="A42" s="4" t="inlineStr">
        <is>
          <t>Admin / configuration page</t>
        </is>
      </c>
      <c r="B42" s="5" t="inlineStr">
        <is>
          <t>Modal / dialog</t>
        </is>
      </c>
      <c r="C42" s="10" t="n">
        <v>1</v>
      </c>
      <c r="D42" s="10" t="n">
        <v>2</v>
      </c>
      <c r="E42" s="10" t="n">
        <v>3</v>
      </c>
      <c r="F42" s="10" t="inlineStr">
        <is>
          <t>Simple</t>
        </is>
      </c>
      <c r="G42" s="10" t="inlineStr">
        <is>
          <t>Simple</t>
        </is>
      </c>
      <c r="H42" s="10" t="inlineStr">
        <is>
          <t>Medium</t>
        </is>
      </c>
      <c r="I42" s="22">
        <f>IF(C42=0,0,C42*INDEX('Component Catalogue'!$H$5:$J$150,MATCH($B42,'Component Catalogue'!$C$5:$C$150,0),MATCH(F42,'Component Catalogue'!$H$4:$J$4,0)))</f>
        <v/>
      </c>
      <c r="J42" s="22">
        <f>IF(D42=0,0,D42*INDEX('Component Catalogue'!$H$5:$J$150,MATCH($B42,'Component Catalogue'!$C$5:$C$150,0),MATCH(G42,'Component Catalogue'!$H$4:$J$4,0)))</f>
        <v/>
      </c>
      <c r="K42" s="22">
        <f>IF(E42=0,0,E42*INDEX('Component Catalogue'!$H$5:$J$150,MATCH($B42,'Component Catalogue'!$C$5:$C$150,0),MATCH(H42,'Component Catalogue'!$H$4:$J$4,0)))</f>
        <v/>
      </c>
      <c r="L42" s="39">
        <f>IF(C42&gt;0,$A42&amp;"|"&amp;COUNTIFS($A$5:$A42,$A42,C$5:C42,"&gt;0"),"")</f>
        <v/>
      </c>
      <c r="M42" s="39">
        <f>IF(D42&gt;0,$A42&amp;"|"&amp;COUNTIFS($A$5:$A42,$A42,D$5:D42,"&gt;0"),"")</f>
        <v/>
      </c>
      <c r="N42" s="39">
        <f>IF(E42&gt;0,$A42&amp;"|"&amp;COUNTIFS($A$5:$A42,$A42,E$5:E42,"&gt;0"),"")</f>
        <v/>
      </c>
    </row>
    <row r="43">
      <c r="A43" s="4" t="inlineStr">
        <is>
          <t>Admin / configuration page</t>
        </is>
      </c>
      <c r="B43" s="5" t="inlineStr">
        <is>
          <t>Empty, loading &amp; error states</t>
        </is>
      </c>
      <c r="C43" s="10" t="n">
        <v>1</v>
      </c>
      <c r="D43" s="10" t="n">
        <v>1</v>
      </c>
      <c r="E43" s="10" t="n">
        <v>1</v>
      </c>
      <c r="F43" s="10" t="inlineStr">
        <is>
          <t>Simple</t>
        </is>
      </c>
      <c r="G43" s="10" t="inlineStr">
        <is>
          <t>Medium</t>
        </is>
      </c>
      <c r="H43" s="10" t="inlineStr">
        <is>
          <t>Medium</t>
        </is>
      </c>
      <c r="I43" s="22">
        <f>IF(C43=0,0,C43*INDEX('Component Catalogue'!$H$5:$J$150,MATCH($B43,'Component Catalogue'!$C$5:$C$150,0),MATCH(F43,'Component Catalogue'!$H$4:$J$4,0)))</f>
        <v/>
      </c>
      <c r="J43" s="22">
        <f>IF(D43=0,0,D43*INDEX('Component Catalogue'!$H$5:$J$150,MATCH($B43,'Component Catalogue'!$C$5:$C$150,0),MATCH(G43,'Component Catalogue'!$H$4:$J$4,0)))</f>
        <v/>
      </c>
      <c r="K43" s="22">
        <f>IF(E43=0,0,E43*INDEX('Component Catalogue'!$H$5:$J$150,MATCH($B43,'Component Catalogue'!$C$5:$C$150,0),MATCH(H43,'Component Catalogue'!$H$4:$J$4,0)))</f>
        <v/>
      </c>
      <c r="L43" s="39">
        <f>IF(C43&gt;0,$A43&amp;"|"&amp;COUNTIFS($A$5:$A43,$A43,C$5:C43,"&gt;0"),"")</f>
        <v/>
      </c>
      <c r="M43" s="39">
        <f>IF(D43&gt;0,$A43&amp;"|"&amp;COUNTIFS($A$5:$A43,$A43,D$5:D43,"&gt;0"),"")</f>
        <v/>
      </c>
      <c r="N43" s="39">
        <f>IF(E43&gt;0,$A43&amp;"|"&amp;COUNTIFS($A$5:$A43,$A43,E$5:E43,"&gt;0"),"")</f>
        <v/>
      </c>
    </row>
    <row r="44">
      <c r="A44" s="4" t="inlineStr">
        <is>
          <t>AI chat assistant page</t>
        </is>
      </c>
      <c r="B44" s="5" t="inlineStr">
        <is>
          <t>Chat interface</t>
        </is>
      </c>
      <c r="C44" s="10" t="n">
        <v>1</v>
      </c>
      <c r="D44" s="10" t="n">
        <v>1</v>
      </c>
      <c r="E44" s="10" t="n">
        <v>1</v>
      </c>
      <c r="F44" s="10" t="inlineStr">
        <is>
          <t>Simple</t>
        </is>
      </c>
      <c r="G44" s="10" t="inlineStr">
        <is>
          <t>Medium</t>
        </is>
      </c>
      <c r="H44" s="10" t="inlineStr">
        <is>
          <t>Complex</t>
        </is>
      </c>
      <c r="I44" s="22">
        <f>IF(C44=0,0,C44*INDEX('Component Catalogue'!$H$5:$J$150,MATCH($B44,'Component Catalogue'!$C$5:$C$150,0),MATCH(F44,'Component Catalogue'!$H$4:$J$4,0)))</f>
        <v/>
      </c>
      <c r="J44" s="22">
        <f>IF(D44=0,0,D44*INDEX('Component Catalogue'!$H$5:$J$150,MATCH($B44,'Component Catalogue'!$C$5:$C$150,0),MATCH(G44,'Component Catalogue'!$H$4:$J$4,0)))</f>
        <v/>
      </c>
      <c r="K44" s="22">
        <f>IF(E44=0,0,E44*INDEX('Component Catalogue'!$H$5:$J$150,MATCH($B44,'Component Catalogue'!$C$5:$C$150,0),MATCH(H44,'Component Catalogue'!$H$4:$J$4,0)))</f>
        <v/>
      </c>
      <c r="L44" s="39">
        <f>IF(C44&gt;0,$A44&amp;"|"&amp;COUNTIFS($A$5:$A44,$A44,C$5:C44,"&gt;0"),"")</f>
        <v/>
      </c>
      <c r="M44" s="39">
        <f>IF(D44&gt;0,$A44&amp;"|"&amp;COUNTIFS($A$5:$A44,$A44,D$5:D44,"&gt;0"),"")</f>
        <v/>
      </c>
      <c r="N44" s="39">
        <f>IF(E44&gt;0,$A44&amp;"|"&amp;COUNTIFS($A$5:$A44,$A44,E$5:E44,"&gt;0"),"")</f>
        <v/>
      </c>
    </row>
    <row r="45">
      <c r="A45" s="4" t="inlineStr">
        <is>
          <t>AI chat assistant page</t>
        </is>
      </c>
      <c r="B45" s="5" t="inlineStr">
        <is>
          <t>Master-detail view</t>
        </is>
      </c>
      <c r="C45" s="10" t="n">
        <v>0</v>
      </c>
      <c r="D45" s="10" t="n">
        <v>1</v>
      </c>
      <c r="E45" s="10" t="n">
        <v>1</v>
      </c>
      <c r="F45" s="10" t="inlineStr">
        <is>
          <t>-</t>
        </is>
      </c>
      <c r="G45" s="10" t="inlineStr">
        <is>
          <t>Simple</t>
        </is>
      </c>
      <c r="H45" s="10" t="inlineStr">
        <is>
          <t>Medium</t>
        </is>
      </c>
      <c r="I45" s="22">
        <f>IF(C45=0,0,C45*INDEX('Component Catalogue'!$H$5:$J$150,MATCH($B45,'Component Catalogue'!$C$5:$C$150,0),MATCH(F45,'Component Catalogue'!$H$4:$J$4,0)))</f>
        <v/>
      </c>
      <c r="J45" s="22">
        <f>IF(D45=0,0,D45*INDEX('Component Catalogue'!$H$5:$J$150,MATCH($B45,'Component Catalogue'!$C$5:$C$150,0),MATCH(G45,'Component Catalogue'!$H$4:$J$4,0)))</f>
        <v/>
      </c>
      <c r="K45" s="22">
        <f>IF(E45=0,0,E45*INDEX('Component Catalogue'!$H$5:$J$150,MATCH($B45,'Component Catalogue'!$C$5:$C$150,0),MATCH(H45,'Component Catalogue'!$H$4:$J$4,0)))</f>
        <v/>
      </c>
      <c r="L45" s="39">
        <f>IF(C45&gt;0,$A45&amp;"|"&amp;COUNTIFS($A$5:$A45,$A45,C$5:C45,"&gt;0"),"")</f>
        <v/>
      </c>
      <c r="M45" s="39">
        <f>IF(D45&gt;0,$A45&amp;"|"&amp;COUNTIFS($A$5:$A45,$A45,D$5:D45,"&gt;0"),"")</f>
        <v/>
      </c>
      <c r="N45" s="39">
        <f>IF(E45&gt;0,$A45&amp;"|"&amp;COUNTIFS($A$5:$A45,$A45,E$5:E45,"&gt;0"),"")</f>
        <v/>
      </c>
    </row>
    <row r="46">
      <c r="A46" s="4" t="inlineStr">
        <is>
          <t>AI chat assistant page</t>
        </is>
      </c>
      <c r="B46" s="5" t="inlineStr">
        <is>
          <t>Citations &amp; sources panel</t>
        </is>
      </c>
      <c r="C46" s="10" t="n">
        <v>0</v>
      </c>
      <c r="D46" s="10" t="n">
        <v>1</v>
      </c>
      <c r="E46" s="10" t="n">
        <v>1</v>
      </c>
      <c r="F46" s="10" t="inlineStr">
        <is>
          <t>-</t>
        </is>
      </c>
      <c r="G46" s="10" t="inlineStr">
        <is>
          <t>Simple</t>
        </is>
      </c>
      <c r="H46" s="10" t="inlineStr">
        <is>
          <t>Medium</t>
        </is>
      </c>
      <c r="I46" s="22">
        <f>IF(C46=0,0,C46*INDEX('Component Catalogue'!$H$5:$J$150,MATCH($B46,'Component Catalogue'!$C$5:$C$150,0),MATCH(F46,'Component Catalogue'!$H$4:$J$4,0)))</f>
        <v/>
      </c>
      <c r="J46" s="22">
        <f>IF(D46=0,0,D46*INDEX('Component Catalogue'!$H$5:$J$150,MATCH($B46,'Component Catalogue'!$C$5:$C$150,0),MATCH(G46,'Component Catalogue'!$H$4:$J$4,0)))</f>
        <v/>
      </c>
      <c r="K46" s="22">
        <f>IF(E46=0,0,E46*INDEX('Component Catalogue'!$H$5:$J$150,MATCH($B46,'Component Catalogue'!$C$5:$C$150,0),MATCH(H46,'Component Catalogue'!$H$4:$J$4,0)))</f>
        <v/>
      </c>
      <c r="L46" s="39">
        <f>IF(C46&gt;0,$A46&amp;"|"&amp;COUNTIFS($A$5:$A46,$A46,C$5:C46,"&gt;0"),"")</f>
        <v/>
      </c>
      <c r="M46" s="39">
        <f>IF(D46&gt;0,$A46&amp;"|"&amp;COUNTIFS($A$5:$A46,$A46,D$5:D46,"&gt;0"),"")</f>
        <v/>
      </c>
      <c r="N46" s="39">
        <f>IF(E46&gt;0,$A46&amp;"|"&amp;COUNTIFS($A$5:$A46,$A46,E$5:E46,"&gt;0"),"")</f>
        <v/>
      </c>
    </row>
    <row r="47">
      <c r="A47" s="4" t="inlineStr">
        <is>
          <t>AI chat assistant page</t>
        </is>
      </c>
      <c r="B47" s="5" t="inlineStr">
        <is>
          <t>AI feedback &amp; suggested prompts</t>
        </is>
      </c>
      <c r="C47" s="10" t="n">
        <v>0</v>
      </c>
      <c r="D47" s="10" t="n">
        <v>1</v>
      </c>
      <c r="E47" s="10" t="n">
        <v>1</v>
      </c>
      <c r="F47" s="10" t="inlineStr">
        <is>
          <t>-</t>
        </is>
      </c>
      <c r="G47" s="10" t="inlineStr">
        <is>
          <t>Simple</t>
        </is>
      </c>
      <c r="H47" s="10" t="inlineStr">
        <is>
          <t>Medium</t>
        </is>
      </c>
      <c r="I47" s="22">
        <f>IF(C47=0,0,C47*INDEX('Component Catalogue'!$H$5:$J$150,MATCH($B47,'Component Catalogue'!$C$5:$C$150,0),MATCH(F47,'Component Catalogue'!$H$4:$J$4,0)))</f>
        <v/>
      </c>
      <c r="J47" s="22">
        <f>IF(D47=0,0,D47*INDEX('Component Catalogue'!$H$5:$J$150,MATCH($B47,'Component Catalogue'!$C$5:$C$150,0),MATCH(G47,'Component Catalogue'!$H$4:$J$4,0)))</f>
        <v/>
      </c>
      <c r="K47" s="22">
        <f>IF(E47=0,0,E47*INDEX('Component Catalogue'!$H$5:$J$150,MATCH($B47,'Component Catalogue'!$C$5:$C$150,0),MATCH(H47,'Component Catalogue'!$H$4:$J$4,0)))</f>
        <v/>
      </c>
      <c r="L47" s="39">
        <f>IF(C47&gt;0,$A47&amp;"|"&amp;COUNTIFS($A$5:$A47,$A47,C$5:C47,"&gt;0"),"")</f>
        <v/>
      </c>
      <c r="M47" s="39">
        <f>IF(D47&gt;0,$A47&amp;"|"&amp;COUNTIFS($A$5:$A47,$A47,D$5:D47,"&gt;0"),"")</f>
        <v/>
      </c>
      <c r="N47" s="39">
        <f>IF(E47&gt;0,$A47&amp;"|"&amp;COUNTIFS($A$5:$A47,$A47,E$5:E47,"&gt;0"),"")</f>
        <v/>
      </c>
    </row>
    <row r="48">
      <c r="A48" s="4" t="inlineStr">
        <is>
          <t>AI chat assistant page</t>
        </is>
      </c>
      <c r="B48" s="5" t="inlineStr">
        <is>
          <t>AI structured-output renderer</t>
        </is>
      </c>
      <c r="C48" s="10" t="n">
        <v>0</v>
      </c>
      <c r="D48" s="10" t="n">
        <v>0</v>
      </c>
      <c r="E48" s="10" t="n">
        <v>1</v>
      </c>
      <c r="F48" s="10" t="inlineStr">
        <is>
          <t>-</t>
        </is>
      </c>
      <c r="G48" s="10" t="inlineStr">
        <is>
          <t>-</t>
        </is>
      </c>
      <c r="H48" s="10" t="inlineStr">
        <is>
          <t>Medium</t>
        </is>
      </c>
      <c r="I48" s="22">
        <f>IF(C48=0,0,C48*INDEX('Component Catalogue'!$H$5:$J$150,MATCH($B48,'Component Catalogue'!$C$5:$C$150,0),MATCH(F48,'Component Catalogue'!$H$4:$J$4,0)))</f>
        <v/>
      </c>
      <c r="J48" s="22">
        <f>IF(D48=0,0,D48*INDEX('Component Catalogue'!$H$5:$J$150,MATCH($B48,'Component Catalogue'!$C$5:$C$150,0),MATCH(G48,'Component Catalogue'!$H$4:$J$4,0)))</f>
        <v/>
      </c>
      <c r="K48" s="22">
        <f>IF(E48=0,0,E48*INDEX('Component Catalogue'!$H$5:$J$150,MATCH($B48,'Component Catalogue'!$C$5:$C$150,0),MATCH(H48,'Component Catalogue'!$H$4:$J$4,0)))</f>
        <v/>
      </c>
      <c r="L48" s="39">
        <f>IF(C48&gt;0,$A48&amp;"|"&amp;COUNTIFS($A$5:$A48,$A48,C$5:C48,"&gt;0"),"")</f>
        <v/>
      </c>
      <c r="M48" s="39">
        <f>IF(D48&gt;0,$A48&amp;"|"&amp;COUNTIFS($A$5:$A48,$A48,D$5:D48,"&gt;0"),"")</f>
        <v/>
      </c>
      <c r="N48" s="39">
        <f>IF(E48&gt;0,$A48&amp;"|"&amp;COUNTIFS($A$5:$A48,$A48,E$5:E48,"&gt;0"),"")</f>
        <v/>
      </c>
    </row>
    <row r="49">
      <c r="A49" s="4" t="inlineStr">
        <is>
          <t>AI chat assistant page</t>
        </is>
      </c>
      <c r="B49" s="5" t="inlineStr">
        <is>
          <t>Empty, loading &amp; error states</t>
        </is>
      </c>
      <c r="C49" s="10" t="n">
        <v>1</v>
      </c>
      <c r="D49" s="10" t="n">
        <v>1</v>
      </c>
      <c r="E49" s="10" t="n">
        <v>1</v>
      </c>
      <c r="F49" s="10" t="inlineStr">
        <is>
          <t>Simple</t>
        </is>
      </c>
      <c r="G49" s="10" t="inlineStr">
        <is>
          <t>Medium</t>
        </is>
      </c>
      <c r="H49" s="10" t="inlineStr">
        <is>
          <t>Medium</t>
        </is>
      </c>
      <c r="I49" s="22">
        <f>IF(C49=0,0,C49*INDEX('Component Catalogue'!$H$5:$J$150,MATCH($B49,'Component Catalogue'!$C$5:$C$150,0),MATCH(F49,'Component Catalogue'!$H$4:$J$4,0)))</f>
        <v/>
      </c>
      <c r="J49" s="22">
        <f>IF(D49=0,0,D49*INDEX('Component Catalogue'!$H$5:$J$150,MATCH($B49,'Component Catalogue'!$C$5:$C$150,0),MATCH(G49,'Component Catalogue'!$H$4:$J$4,0)))</f>
        <v/>
      </c>
      <c r="K49" s="22">
        <f>IF(E49=0,0,E49*INDEX('Component Catalogue'!$H$5:$J$150,MATCH($B49,'Component Catalogue'!$C$5:$C$150,0),MATCH(H49,'Component Catalogue'!$H$4:$J$4,0)))</f>
        <v/>
      </c>
      <c r="L49" s="39">
        <f>IF(C49&gt;0,$A49&amp;"|"&amp;COUNTIFS($A$5:$A49,$A49,C$5:C49,"&gt;0"),"")</f>
        <v/>
      </c>
      <c r="M49" s="39">
        <f>IF(D49&gt;0,$A49&amp;"|"&amp;COUNTIFS($A$5:$A49,$A49,D$5:D49,"&gt;0"),"")</f>
        <v/>
      </c>
      <c r="N49" s="39">
        <f>IF(E49&gt;0,$A49&amp;"|"&amp;COUNTIFS($A$5:$A49,$A49,E$5:E49,"&gt;0"),"")</f>
        <v/>
      </c>
    </row>
    <row r="50">
      <c r="A50" s="4" t="inlineStr">
        <is>
          <t>Agent / workflow monitor page</t>
        </is>
      </c>
      <c r="B50" s="5" t="inlineStr">
        <is>
          <t>Data table</t>
        </is>
      </c>
      <c r="C50" s="10" t="n">
        <v>1</v>
      </c>
      <c r="D50" s="10" t="n">
        <v>1</v>
      </c>
      <c r="E50" s="10" t="n">
        <v>1</v>
      </c>
      <c r="F50" s="10" t="inlineStr">
        <is>
          <t>Simple</t>
        </is>
      </c>
      <c r="G50" s="10" t="inlineStr">
        <is>
          <t>Medium</t>
        </is>
      </c>
      <c r="H50" s="10" t="inlineStr">
        <is>
          <t>Complex</t>
        </is>
      </c>
      <c r="I50" s="22">
        <f>IF(C50=0,0,C50*INDEX('Component Catalogue'!$H$5:$J$150,MATCH($B50,'Component Catalogue'!$C$5:$C$150,0),MATCH(F50,'Component Catalogue'!$H$4:$J$4,0)))</f>
        <v/>
      </c>
      <c r="J50" s="22">
        <f>IF(D50=0,0,D50*INDEX('Component Catalogue'!$H$5:$J$150,MATCH($B50,'Component Catalogue'!$C$5:$C$150,0),MATCH(G50,'Component Catalogue'!$H$4:$J$4,0)))</f>
        <v/>
      </c>
      <c r="K50" s="22">
        <f>IF(E50=0,0,E50*INDEX('Component Catalogue'!$H$5:$J$150,MATCH($B50,'Component Catalogue'!$C$5:$C$150,0),MATCH(H50,'Component Catalogue'!$H$4:$J$4,0)))</f>
        <v/>
      </c>
      <c r="L50" s="39">
        <f>IF(C50&gt;0,$A50&amp;"|"&amp;COUNTIFS($A$5:$A50,$A50,C$5:C50,"&gt;0"),"")</f>
        <v/>
      </c>
      <c r="M50" s="39">
        <f>IF(D50&gt;0,$A50&amp;"|"&amp;COUNTIFS($A$5:$A50,$A50,D$5:D50,"&gt;0"),"")</f>
        <v/>
      </c>
      <c r="N50" s="39">
        <f>IF(E50&gt;0,$A50&amp;"|"&amp;COUNTIFS($A$5:$A50,$A50,E$5:E50,"&gt;0"),"")</f>
        <v/>
      </c>
    </row>
    <row r="51">
      <c r="A51" s="4" t="inlineStr">
        <is>
          <t>Agent / workflow monitor page</t>
        </is>
      </c>
      <c r="B51" s="5" t="inlineStr">
        <is>
          <t>Detail / summary panel</t>
        </is>
      </c>
      <c r="C51" s="10" t="n">
        <v>1</v>
      </c>
      <c r="D51" s="10" t="n">
        <v>1</v>
      </c>
      <c r="E51" s="10" t="n">
        <v>1</v>
      </c>
      <c r="F51" s="10" t="inlineStr">
        <is>
          <t>Simple</t>
        </is>
      </c>
      <c r="G51" s="10" t="inlineStr">
        <is>
          <t>Medium</t>
        </is>
      </c>
      <c r="H51" s="10" t="inlineStr">
        <is>
          <t>Complex</t>
        </is>
      </c>
      <c r="I51" s="22">
        <f>IF(C51=0,0,C51*INDEX('Component Catalogue'!$H$5:$J$150,MATCH($B51,'Component Catalogue'!$C$5:$C$150,0),MATCH(F51,'Component Catalogue'!$H$4:$J$4,0)))</f>
        <v/>
      </c>
      <c r="J51" s="22">
        <f>IF(D51=0,0,D51*INDEX('Component Catalogue'!$H$5:$J$150,MATCH($B51,'Component Catalogue'!$C$5:$C$150,0),MATCH(G51,'Component Catalogue'!$H$4:$J$4,0)))</f>
        <v/>
      </c>
      <c r="K51" s="22">
        <f>IF(E51=0,0,E51*INDEX('Component Catalogue'!$H$5:$J$150,MATCH($B51,'Component Catalogue'!$C$5:$C$150,0),MATCH(H51,'Component Catalogue'!$H$4:$J$4,0)))</f>
        <v/>
      </c>
      <c r="L51" s="39">
        <f>IF(C51&gt;0,$A51&amp;"|"&amp;COUNTIFS($A$5:$A51,$A51,C$5:C51,"&gt;0"),"")</f>
        <v/>
      </c>
      <c r="M51" s="39">
        <f>IF(D51&gt;0,$A51&amp;"|"&amp;COUNTIFS($A$5:$A51,$A51,D$5:D51,"&gt;0"),"")</f>
        <v/>
      </c>
      <c r="N51" s="39">
        <f>IF(E51&gt;0,$A51&amp;"|"&amp;COUNTIFS($A$5:$A51,$A51,E$5:E51,"&gt;0"),"")</f>
        <v/>
      </c>
    </row>
    <row r="52">
      <c r="A52" s="4" t="inlineStr">
        <is>
          <t>Agent / workflow monitor page</t>
        </is>
      </c>
      <c r="B52" s="5" t="inlineStr">
        <is>
          <t>Agent run / tool-call timeline</t>
        </is>
      </c>
      <c r="C52" s="10" t="n">
        <v>1</v>
      </c>
      <c r="D52" s="10" t="n">
        <v>1</v>
      </c>
      <c r="E52" s="10" t="n">
        <v>1</v>
      </c>
      <c r="F52" s="10" t="inlineStr">
        <is>
          <t>Simple</t>
        </is>
      </c>
      <c r="G52" s="10" t="inlineStr">
        <is>
          <t>Medium</t>
        </is>
      </c>
      <c r="H52" s="10" t="inlineStr">
        <is>
          <t>Complex</t>
        </is>
      </c>
      <c r="I52" s="22">
        <f>IF(C52=0,0,C52*INDEX('Component Catalogue'!$H$5:$J$150,MATCH($B52,'Component Catalogue'!$C$5:$C$150,0),MATCH(F52,'Component Catalogue'!$H$4:$J$4,0)))</f>
        <v/>
      </c>
      <c r="J52" s="22">
        <f>IF(D52=0,0,D52*INDEX('Component Catalogue'!$H$5:$J$150,MATCH($B52,'Component Catalogue'!$C$5:$C$150,0),MATCH(G52,'Component Catalogue'!$H$4:$J$4,0)))</f>
        <v/>
      </c>
      <c r="K52" s="22">
        <f>IF(E52=0,0,E52*INDEX('Component Catalogue'!$H$5:$J$150,MATCH($B52,'Component Catalogue'!$C$5:$C$150,0),MATCH(H52,'Component Catalogue'!$H$4:$J$4,0)))</f>
        <v/>
      </c>
      <c r="L52" s="39">
        <f>IF(C52&gt;0,$A52&amp;"|"&amp;COUNTIFS($A$5:$A52,$A52,C$5:C52,"&gt;0"),"")</f>
        <v/>
      </c>
      <c r="M52" s="39">
        <f>IF(D52&gt;0,$A52&amp;"|"&amp;COUNTIFS($A$5:$A52,$A52,D$5:D52,"&gt;0"),"")</f>
        <v/>
      </c>
      <c r="N52" s="39">
        <f>IF(E52&gt;0,$A52&amp;"|"&amp;COUNTIFS($A$5:$A52,$A52,E$5:E52,"&gt;0"),"")</f>
        <v/>
      </c>
    </row>
    <row r="53">
      <c r="A53" s="4" t="inlineStr">
        <is>
          <t>Agent / workflow monitor page</t>
        </is>
      </c>
      <c r="B53" s="5" t="inlineStr">
        <is>
          <t>Human-in-the-loop approval</t>
        </is>
      </c>
      <c r="C53" s="10" t="n">
        <v>0</v>
      </c>
      <c r="D53" s="10" t="n">
        <v>1</v>
      </c>
      <c r="E53" s="10" t="n">
        <v>1</v>
      </c>
      <c r="F53" s="10" t="inlineStr">
        <is>
          <t>-</t>
        </is>
      </c>
      <c r="G53" s="10" t="inlineStr">
        <is>
          <t>Simple</t>
        </is>
      </c>
      <c r="H53" s="10" t="inlineStr">
        <is>
          <t>Medium</t>
        </is>
      </c>
      <c r="I53" s="22">
        <f>IF(C53=0,0,C53*INDEX('Component Catalogue'!$H$5:$J$150,MATCH($B53,'Component Catalogue'!$C$5:$C$150,0),MATCH(F53,'Component Catalogue'!$H$4:$J$4,0)))</f>
        <v/>
      </c>
      <c r="J53" s="22">
        <f>IF(D53=0,0,D53*INDEX('Component Catalogue'!$H$5:$J$150,MATCH($B53,'Component Catalogue'!$C$5:$C$150,0),MATCH(G53,'Component Catalogue'!$H$4:$J$4,0)))</f>
        <v/>
      </c>
      <c r="K53" s="22">
        <f>IF(E53=0,0,E53*INDEX('Component Catalogue'!$H$5:$J$150,MATCH($B53,'Component Catalogue'!$C$5:$C$150,0),MATCH(H53,'Component Catalogue'!$H$4:$J$4,0)))</f>
        <v/>
      </c>
      <c r="L53" s="39">
        <f>IF(C53&gt;0,$A53&amp;"|"&amp;COUNTIFS($A$5:$A53,$A53,C$5:C53,"&gt;0"),"")</f>
        <v/>
      </c>
      <c r="M53" s="39">
        <f>IF(D53&gt;0,$A53&amp;"|"&amp;COUNTIFS($A$5:$A53,$A53,D$5:D53,"&gt;0"),"")</f>
        <v/>
      </c>
      <c r="N53" s="39">
        <f>IF(E53&gt;0,$A53&amp;"|"&amp;COUNTIFS($A$5:$A53,$A53,E$5:E53,"&gt;0"),"")</f>
        <v/>
      </c>
    </row>
    <row r="54">
      <c r="A54" s="4" t="inlineStr">
        <is>
          <t>Agent / workflow monitor page</t>
        </is>
      </c>
      <c r="B54" s="5" t="inlineStr">
        <is>
          <t>Progress &amp; job status</t>
        </is>
      </c>
      <c r="C54" s="10" t="n">
        <v>0</v>
      </c>
      <c r="D54" s="10" t="n">
        <v>1</v>
      </c>
      <c r="E54" s="10" t="n">
        <v>1</v>
      </c>
      <c r="F54" s="10" t="inlineStr">
        <is>
          <t>-</t>
        </is>
      </c>
      <c r="G54" s="10" t="inlineStr">
        <is>
          <t>Simple</t>
        </is>
      </c>
      <c r="H54" s="10" t="inlineStr">
        <is>
          <t>Medium</t>
        </is>
      </c>
      <c r="I54" s="22">
        <f>IF(C54=0,0,C54*INDEX('Component Catalogue'!$H$5:$J$150,MATCH($B54,'Component Catalogue'!$C$5:$C$150,0),MATCH(F54,'Component Catalogue'!$H$4:$J$4,0)))</f>
        <v/>
      </c>
      <c r="J54" s="22">
        <f>IF(D54=0,0,D54*INDEX('Component Catalogue'!$H$5:$J$150,MATCH($B54,'Component Catalogue'!$C$5:$C$150,0),MATCH(G54,'Component Catalogue'!$H$4:$J$4,0)))</f>
        <v/>
      </c>
      <c r="K54" s="22">
        <f>IF(E54=0,0,E54*INDEX('Component Catalogue'!$H$5:$J$150,MATCH($B54,'Component Catalogue'!$C$5:$C$150,0),MATCH(H54,'Component Catalogue'!$H$4:$J$4,0)))</f>
        <v/>
      </c>
      <c r="L54" s="39">
        <f>IF(C54&gt;0,$A54&amp;"|"&amp;COUNTIFS($A$5:$A54,$A54,C$5:C54,"&gt;0"),"")</f>
        <v/>
      </c>
      <c r="M54" s="39">
        <f>IF(D54&gt;0,$A54&amp;"|"&amp;COUNTIFS($A$5:$A54,$A54,D$5:D54,"&gt;0"),"")</f>
        <v/>
      </c>
      <c r="N54" s="39">
        <f>IF(E54&gt;0,$A54&amp;"|"&amp;COUNTIFS($A$5:$A54,$A54,E$5:E54,"&gt;0"),"")</f>
        <v/>
      </c>
    </row>
    <row r="55">
      <c r="A55" s="4" t="inlineStr">
        <is>
          <t>Agent / workflow monitor page</t>
        </is>
      </c>
      <c r="B55" s="5" t="inlineStr">
        <is>
          <t>Filter bar / panel</t>
        </is>
      </c>
      <c r="C55" s="10" t="n">
        <v>0</v>
      </c>
      <c r="D55" s="10" t="n">
        <v>1</v>
      </c>
      <c r="E55" s="10" t="n">
        <v>1</v>
      </c>
      <c r="F55" s="10" t="inlineStr">
        <is>
          <t>-</t>
        </is>
      </c>
      <c r="G55" s="10" t="inlineStr">
        <is>
          <t>Simple</t>
        </is>
      </c>
      <c r="H55" s="10" t="inlineStr">
        <is>
          <t>Medium</t>
        </is>
      </c>
      <c r="I55" s="22">
        <f>IF(C55=0,0,C55*INDEX('Component Catalogue'!$H$5:$J$150,MATCH($B55,'Component Catalogue'!$C$5:$C$150,0),MATCH(F55,'Component Catalogue'!$H$4:$J$4,0)))</f>
        <v/>
      </c>
      <c r="J55" s="22">
        <f>IF(D55=0,0,D55*INDEX('Component Catalogue'!$H$5:$J$150,MATCH($B55,'Component Catalogue'!$C$5:$C$150,0),MATCH(G55,'Component Catalogue'!$H$4:$J$4,0)))</f>
        <v/>
      </c>
      <c r="K55" s="22">
        <f>IF(E55=0,0,E55*INDEX('Component Catalogue'!$H$5:$J$150,MATCH($B55,'Component Catalogue'!$C$5:$C$150,0),MATCH(H55,'Component Catalogue'!$H$4:$J$4,0)))</f>
        <v/>
      </c>
      <c r="L55" s="39">
        <f>IF(C55&gt;0,$A55&amp;"|"&amp;COUNTIFS($A$5:$A55,$A55,C$5:C55,"&gt;0"),"")</f>
        <v/>
      </c>
      <c r="M55" s="39">
        <f>IF(D55&gt;0,$A55&amp;"|"&amp;COUNTIFS($A$5:$A55,$A55,D$5:D55,"&gt;0"),"")</f>
        <v/>
      </c>
      <c r="N55" s="39">
        <f>IF(E55&gt;0,$A55&amp;"|"&amp;COUNTIFS($A$5:$A55,$A55,E$5:E55,"&gt;0"),"")</f>
        <v/>
      </c>
    </row>
    <row r="56">
      <c r="A56" s="4" t="inlineStr">
        <is>
          <t>Agent / workflow monitor page</t>
        </is>
      </c>
      <c r="B56" s="5" t="inlineStr">
        <is>
          <t>Empty, loading &amp; error states</t>
        </is>
      </c>
      <c r="C56" s="10" t="n">
        <v>1</v>
      </c>
      <c r="D56" s="10" t="n">
        <v>1</v>
      </c>
      <c r="E56" s="10" t="n">
        <v>1</v>
      </c>
      <c r="F56" s="10" t="inlineStr">
        <is>
          <t>Simple</t>
        </is>
      </c>
      <c r="G56" s="10" t="inlineStr">
        <is>
          <t>Medium</t>
        </is>
      </c>
      <c r="H56" s="10" t="inlineStr">
        <is>
          <t>Medium</t>
        </is>
      </c>
      <c r="I56" s="22">
        <f>IF(C56=0,0,C56*INDEX('Component Catalogue'!$H$5:$J$150,MATCH($B56,'Component Catalogue'!$C$5:$C$150,0),MATCH(F56,'Component Catalogue'!$H$4:$J$4,0)))</f>
        <v/>
      </c>
      <c r="J56" s="22">
        <f>IF(D56=0,0,D56*INDEX('Component Catalogue'!$H$5:$J$150,MATCH($B56,'Component Catalogue'!$C$5:$C$150,0),MATCH(G56,'Component Catalogue'!$H$4:$J$4,0)))</f>
        <v/>
      </c>
      <c r="K56" s="22">
        <f>IF(E56=0,0,E56*INDEX('Component Catalogue'!$H$5:$J$150,MATCH($B56,'Component Catalogue'!$C$5:$C$150,0),MATCH(H56,'Component Catalogue'!$H$4:$J$4,0)))</f>
        <v/>
      </c>
      <c r="L56" s="39">
        <f>IF(C56&gt;0,$A56&amp;"|"&amp;COUNTIFS($A$5:$A56,$A56,C$5:C56,"&gt;0"),"")</f>
        <v/>
      </c>
      <c r="M56" s="39">
        <f>IF(D56&gt;0,$A56&amp;"|"&amp;COUNTIFS($A$5:$A56,$A56,D$5:D56,"&gt;0"),"")</f>
        <v/>
      </c>
      <c r="N56" s="39">
        <f>IF(E56&gt;0,$A56&amp;"|"&amp;COUNTIFS($A$5:$A56,$A56,E$5:E56,"&gt;0"),"")</f>
        <v/>
      </c>
    </row>
    <row r="57">
      <c r="A57" s="4" t="inlineStr">
        <is>
          <t>Report &amp; export page</t>
        </is>
      </c>
      <c r="B57" s="5" t="inlineStr">
        <is>
          <t>Filter bar / panel</t>
        </is>
      </c>
      <c r="C57" s="10" t="n">
        <v>1</v>
      </c>
      <c r="D57" s="10" t="n">
        <v>1</v>
      </c>
      <c r="E57" s="10" t="n">
        <v>1</v>
      </c>
      <c r="F57" s="10" t="inlineStr">
        <is>
          <t>Simple</t>
        </is>
      </c>
      <c r="G57" s="10" t="inlineStr">
        <is>
          <t>Medium</t>
        </is>
      </c>
      <c r="H57" s="10" t="inlineStr">
        <is>
          <t>Complex</t>
        </is>
      </c>
      <c r="I57" s="22">
        <f>IF(C57=0,0,C57*INDEX('Component Catalogue'!$H$5:$J$150,MATCH($B57,'Component Catalogue'!$C$5:$C$150,0),MATCH(F57,'Component Catalogue'!$H$4:$J$4,0)))</f>
        <v/>
      </c>
      <c r="J57" s="22">
        <f>IF(D57=0,0,D57*INDEX('Component Catalogue'!$H$5:$J$150,MATCH($B57,'Component Catalogue'!$C$5:$C$150,0),MATCH(G57,'Component Catalogue'!$H$4:$J$4,0)))</f>
        <v/>
      </c>
      <c r="K57" s="22">
        <f>IF(E57=0,0,E57*INDEX('Component Catalogue'!$H$5:$J$150,MATCH($B57,'Component Catalogue'!$C$5:$C$150,0),MATCH(H57,'Component Catalogue'!$H$4:$J$4,0)))</f>
        <v/>
      </c>
      <c r="L57" s="39">
        <f>IF(C57&gt;0,$A57&amp;"|"&amp;COUNTIFS($A$5:$A57,$A57,C$5:C57,"&gt;0"),"")</f>
        <v/>
      </c>
      <c r="M57" s="39">
        <f>IF(D57&gt;0,$A57&amp;"|"&amp;COUNTIFS($A$5:$A57,$A57,D$5:D57,"&gt;0"),"")</f>
        <v/>
      </c>
      <c r="N57" s="39">
        <f>IF(E57&gt;0,$A57&amp;"|"&amp;COUNTIFS($A$5:$A57,$A57,E$5:E57,"&gt;0"),"")</f>
        <v/>
      </c>
    </row>
    <row r="58">
      <c r="A58" s="4" t="inlineStr">
        <is>
          <t>Report &amp; export page</t>
        </is>
      </c>
      <c r="B58" s="5" t="inlineStr">
        <is>
          <t>Data table</t>
        </is>
      </c>
      <c r="C58" s="10" t="n">
        <v>1</v>
      </c>
      <c r="D58" s="10" t="n">
        <v>1</v>
      </c>
      <c r="E58" s="10" t="n">
        <v>1</v>
      </c>
      <c r="F58" s="10" t="inlineStr">
        <is>
          <t>Simple</t>
        </is>
      </c>
      <c r="G58" s="10" t="inlineStr">
        <is>
          <t>Medium</t>
        </is>
      </c>
      <c r="H58" s="10" t="inlineStr">
        <is>
          <t>Complex</t>
        </is>
      </c>
      <c r="I58" s="22">
        <f>IF(C58=0,0,C58*INDEX('Component Catalogue'!$H$5:$J$150,MATCH($B58,'Component Catalogue'!$C$5:$C$150,0),MATCH(F58,'Component Catalogue'!$H$4:$J$4,0)))</f>
        <v/>
      </c>
      <c r="J58" s="22">
        <f>IF(D58=0,0,D58*INDEX('Component Catalogue'!$H$5:$J$150,MATCH($B58,'Component Catalogue'!$C$5:$C$150,0),MATCH(G58,'Component Catalogue'!$H$4:$J$4,0)))</f>
        <v/>
      </c>
      <c r="K58" s="22">
        <f>IF(E58=0,0,E58*INDEX('Component Catalogue'!$H$5:$J$150,MATCH($B58,'Component Catalogue'!$C$5:$C$150,0),MATCH(H58,'Component Catalogue'!$H$4:$J$4,0)))</f>
        <v/>
      </c>
      <c r="L58" s="39">
        <f>IF(C58&gt;0,$A58&amp;"|"&amp;COUNTIFS($A$5:$A58,$A58,C$5:C58,"&gt;0"),"")</f>
        <v/>
      </c>
      <c r="M58" s="39">
        <f>IF(D58&gt;0,$A58&amp;"|"&amp;COUNTIFS($A$5:$A58,$A58,D$5:D58,"&gt;0"),"")</f>
        <v/>
      </c>
      <c r="N58" s="39">
        <f>IF(E58&gt;0,$A58&amp;"|"&amp;COUNTIFS($A$5:$A58,$A58,E$5:E58,"&gt;0"),"")</f>
        <v/>
      </c>
    </row>
    <row r="59">
      <c r="A59" s="4" t="inlineStr">
        <is>
          <t>Report &amp; export page</t>
        </is>
      </c>
      <c r="B59" s="5" t="inlineStr">
        <is>
          <t>Standard chart (bar, line, area, pie)</t>
        </is>
      </c>
      <c r="C59" s="10" t="n">
        <v>0</v>
      </c>
      <c r="D59" s="10" t="n">
        <v>2</v>
      </c>
      <c r="E59" s="10" t="n">
        <v>4</v>
      </c>
      <c r="F59" s="10" t="inlineStr">
        <is>
          <t>-</t>
        </is>
      </c>
      <c r="G59" s="10" t="inlineStr">
        <is>
          <t>Simple</t>
        </is>
      </c>
      <c r="H59" s="10" t="inlineStr">
        <is>
          <t>Medium</t>
        </is>
      </c>
      <c r="I59" s="22">
        <f>IF(C59=0,0,C59*INDEX('Component Catalogue'!$H$5:$J$150,MATCH($B59,'Component Catalogue'!$C$5:$C$150,0),MATCH(F59,'Component Catalogue'!$H$4:$J$4,0)))</f>
        <v/>
      </c>
      <c r="J59" s="22">
        <f>IF(D59=0,0,D59*INDEX('Component Catalogue'!$H$5:$J$150,MATCH($B59,'Component Catalogue'!$C$5:$C$150,0),MATCH(G59,'Component Catalogue'!$H$4:$J$4,0)))</f>
        <v/>
      </c>
      <c r="K59" s="22">
        <f>IF(E59=0,0,E59*INDEX('Component Catalogue'!$H$5:$J$150,MATCH($B59,'Component Catalogue'!$C$5:$C$150,0),MATCH(H59,'Component Catalogue'!$H$4:$J$4,0)))</f>
        <v/>
      </c>
      <c r="L59" s="39">
        <f>IF(C59&gt;0,$A59&amp;"|"&amp;COUNTIFS($A$5:$A59,$A59,C$5:C59,"&gt;0"),"")</f>
        <v/>
      </c>
      <c r="M59" s="39">
        <f>IF(D59&gt;0,$A59&amp;"|"&amp;COUNTIFS($A$5:$A59,$A59,D$5:D59,"&gt;0"),"")</f>
        <v/>
      </c>
      <c r="N59" s="39">
        <f>IF(E59&gt;0,$A59&amp;"|"&amp;COUNTIFS($A$5:$A59,$A59,E$5:E59,"&gt;0"),"")</f>
        <v/>
      </c>
    </row>
    <row r="60">
      <c r="A60" s="4" t="inlineStr">
        <is>
          <t>Report &amp; export page</t>
        </is>
      </c>
      <c r="B60" s="5" t="inlineStr">
        <is>
          <t>Data export (CSV / Excel)</t>
        </is>
      </c>
      <c r="C60" s="10" t="n">
        <v>1</v>
      </c>
      <c r="D60" s="10" t="n">
        <v>1</v>
      </c>
      <c r="E60" s="10" t="n">
        <v>1</v>
      </c>
      <c r="F60" s="10" t="inlineStr">
        <is>
          <t>Simple</t>
        </is>
      </c>
      <c r="G60" s="10" t="inlineStr">
        <is>
          <t>Medium</t>
        </is>
      </c>
      <c r="H60" s="10" t="inlineStr">
        <is>
          <t>Complex</t>
        </is>
      </c>
      <c r="I60" s="22">
        <f>IF(C60=0,0,C60*INDEX('Component Catalogue'!$H$5:$J$150,MATCH($B60,'Component Catalogue'!$C$5:$C$150,0),MATCH(F60,'Component Catalogue'!$H$4:$J$4,0)))</f>
        <v/>
      </c>
      <c r="J60" s="22">
        <f>IF(D60=0,0,D60*INDEX('Component Catalogue'!$H$5:$J$150,MATCH($B60,'Component Catalogue'!$C$5:$C$150,0),MATCH(G60,'Component Catalogue'!$H$4:$J$4,0)))</f>
        <v/>
      </c>
      <c r="K60" s="22">
        <f>IF(E60=0,0,E60*INDEX('Component Catalogue'!$H$5:$J$150,MATCH($B60,'Component Catalogue'!$C$5:$C$150,0),MATCH(H60,'Component Catalogue'!$H$4:$J$4,0)))</f>
        <v/>
      </c>
      <c r="L60" s="39">
        <f>IF(C60&gt;0,$A60&amp;"|"&amp;COUNTIFS($A$5:$A60,$A60,C$5:C60,"&gt;0"),"")</f>
        <v/>
      </c>
      <c r="M60" s="39">
        <f>IF(D60&gt;0,$A60&amp;"|"&amp;COUNTIFS($A$5:$A60,$A60,D$5:D60,"&gt;0"),"")</f>
        <v/>
      </c>
      <c r="N60" s="39">
        <f>IF(E60&gt;0,$A60&amp;"|"&amp;COUNTIFS($A$5:$A60,$A60,E$5:E60,"&gt;0"),"")</f>
        <v/>
      </c>
    </row>
    <row r="61">
      <c r="A61" s="4" t="inlineStr">
        <is>
          <t>Report &amp; export page</t>
        </is>
      </c>
      <c r="B61" s="5" t="inlineStr">
        <is>
          <t>PDF / printable report</t>
        </is>
      </c>
      <c r="C61" s="10" t="n">
        <v>0</v>
      </c>
      <c r="D61" s="10" t="n">
        <v>1</v>
      </c>
      <c r="E61" s="10" t="n">
        <v>1</v>
      </c>
      <c r="F61" s="10" t="inlineStr">
        <is>
          <t>-</t>
        </is>
      </c>
      <c r="G61" s="10" t="inlineStr">
        <is>
          <t>Medium</t>
        </is>
      </c>
      <c r="H61" s="10" t="inlineStr">
        <is>
          <t>Complex</t>
        </is>
      </c>
      <c r="I61" s="22">
        <f>IF(C61=0,0,C61*INDEX('Component Catalogue'!$H$5:$J$150,MATCH($B61,'Component Catalogue'!$C$5:$C$150,0),MATCH(F61,'Component Catalogue'!$H$4:$J$4,0)))</f>
        <v/>
      </c>
      <c r="J61" s="22">
        <f>IF(D61=0,0,D61*INDEX('Component Catalogue'!$H$5:$J$150,MATCH($B61,'Component Catalogue'!$C$5:$C$150,0),MATCH(G61,'Component Catalogue'!$H$4:$J$4,0)))</f>
        <v/>
      </c>
      <c r="K61" s="22">
        <f>IF(E61=0,0,E61*INDEX('Component Catalogue'!$H$5:$J$150,MATCH($B61,'Component Catalogue'!$C$5:$C$150,0),MATCH(H61,'Component Catalogue'!$H$4:$J$4,0)))</f>
        <v/>
      </c>
      <c r="L61" s="39">
        <f>IF(C61&gt;0,$A61&amp;"|"&amp;COUNTIFS($A$5:$A61,$A61,C$5:C61,"&gt;0"),"")</f>
        <v/>
      </c>
      <c r="M61" s="39">
        <f>IF(D61&gt;0,$A61&amp;"|"&amp;COUNTIFS($A$5:$A61,$A61,D$5:D61,"&gt;0"),"")</f>
        <v/>
      </c>
      <c r="N61" s="39">
        <f>IF(E61&gt;0,$A61&amp;"|"&amp;COUNTIFS($A$5:$A61,$A61,E$5:E61,"&gt;0"),"")</f>
        <v/>
      </c>
    </row>
    <row r="62">
      <c r="A62" s="4" t="inlineStr">
        <is>
          <t>Report &amp; export page</t>
        </is>
      </c>
      <c r="B62" s="5" t="inlineStr">
        <is>
          <t>Empty, loading &amp; error states</t>
        </is>
      </c>
      <c r="C62" s="10" t="n">
        <v>1</v>
      </c>
      <c r="D62" s="10" t="n">
        <v>1</v>
      </c>
      <c r="E62" s="10" t="n">
        <v>1</v>
      </c>
      <c r="F62" s="10" t="inlineStr">
        <is>
          <t>Simple</t>
        </is>
      </c>
      <c r="G62" s="10" t="inlineStr">
        <is>
          <t>Medium</t>
        </is>
      </c>
      <c r="H62" s="10" t="inlineStr">
        <is>
          <t>Medium</t>
        </is>
      </c>
      <c r="I62" s="22">
        <f>IF(C62=0,0,C62*INDEX('Component Catalogue'!$H$5:$J$150,MATCH($B62,'Component Catalogue'!$C$5:$C$150,0),MATCH(F62,'Component Catalogue'!$H$4:$J$4,0)))</f>
        <v/>
      </c>
      <c r="J62" s="22">
        <f>IF(D62=0,0,D62*INDEX('Component Catalogue'!$H$5:$J$150,MATCH($B62,'Component Catalogue'!$C$5:$C$150,0),MATCH(G62,'Component Catalogue'!$H$4:$J$4,0)))</f>
        <v/>
      </c>
      <c r="K62" s="22">
        <f>IF(E62=0,0,E62*INDEX('Component Catalogue'!$H$5:$J$150,MATCH($B62,'Component Catalogue'!$C$5:$C$150,0),MATCH(H62,'Component Catalogue'!$H$4:$J$4,0)))</f>
        <v/>
      </c>
      <c r="L62" s="39">
        <f>IF(C62&gt;0,$A62&amp;"|"&amp;COUNTIFS($A$5:$A62,$A62,C$5:C62,"&gt;0"),"")</f>
        <v/>
      </c>
      <c r="M62" s="39">
        <f>IF(D62&gt;0,$A62&amp;"|"&amp;COUNTIFS($A$5:$A62,$A62,D$5:D62,"&gt;0"),"")</f>
        <v/>
      </c>
      <c r="N62" s="39">
        <f>IF(E62&gt;0,$A62&amp;"|"&amp;COUNTIFS($A$5:$A62,$A62,E$5:E62,"&gt;0"),"")</f>
        <v/>
      </c>
    </row>
    <row r="63">
      <c r="A63" s="4" t="inlineStr">
        <is>
          <t>Content / landing page</t>
        </is>
      </c>
      <c r="B63" s="5" t="inlineStr">
        <is>
          <t>Static content section</t>
        </is>
      </c>
      <c r="C63" s="10" t="n">
        <v>2</v>
      </c>
      <c r="D63" s="10" t="n">
        <v>4</v>
      </c>
      <c r="E63" s="10" t="n">
        <v>6</v>
      </c>
      <c r="F63" s="10" t="inlineStr">
        <is>
          <t>Simple</t>
        </is>
      </c>
      <c r="G63" s="10" t="inlineStr">
        <is>
          <t>Medium</t>
        </is>
      </c>
      <c r="H63" s="10" t="inlineStr">
        <is>
          <t>Medium</t>
        </is>
      </c>
      <c r="I63" s="22">
        <f>IF(C63=0,0,C63*INDEX('Component Catalogue'!$H$5:$J$150,MATCH($B63,'Component Catalogue'!$C$5:$C$150,0),MATCH(F63,'Component Catalogue'!$H$4:$J$4,0)))</f>
        <v/>
      </c>
      <c r="J63" s="22">
        <f>IF(D63=0,0,D63*INDEX('Component Catalogue'!$H$5:$J$150,MATCH($B63,'Component Catalogue'!$C$5:$C$150,0),MATCH(G63,'Component Catalogue'!$H$4:$J$4,0)))</f>
        <v/>
      </c>
      <c r="K63" s="22">
        <f>IF(E63=0,0,E63*INDEX('Component Catalogue'!$H$5:$J$150,MATCH($B63,'Component Catalogue'!$C$5:$C$150,0),MATCH(H63,'Component Catalogue'!$H$4:$J$4,0)))</f>
        <v/>
      </c>
      <c r="L63" s="39">
        <f>IF(C63&gt;0,$A63&amp;"|"&amp;COUNTIFS($A$5:$A63,$A63,C$5:C63,"&gt;0"),"")</f>
        <v/>
      </c>
      <c r="M63" s="39">
        <f>IF(D63&gt;0,$A63&amp;"|"&amp;COUNTIFS($A$5:$A63,$A63,D$5:D63,"&gt;0"),"")</f>
        <v/>
      </c>
      <c r="N63" s="39">
        <f>IF(E63&gt;0,$A63&amp;"|"&amp;COUNTIFS($A$5:$A63,$A63,E$5:E63,"&gt;0"),"")</f>
        <v/>
      </c>
    </row>
    <row r="64">
      <c r="A64" s="4" t="inlineStr">
        <is>
          <t>Content / landing page</t>
        </is>
      </c>
      <c r="B64" s="5" t="inlineStr">
        <is>
          <t>Responsive layout</t>
        </is>
      </c>
      <c r="C64" s="10" t="n">
        <v>1</v>
      </c>
      <c r="D64" s="10" t="n">
        <v>1</v>
      </c>
      <c r="E64" s="10" t="n">
        <v>1</v>
      </c>
      <c r="F64" s="10" t="inlineStr">
        <is>
          <t>Simple</t>
        </is>
      </c>
      <c r="G64" s="10" t="inlineStr">
        <is>
          <t>Medium</t>
        </is>
      </c>
      <c r="H64" s="10" t="inlineStr">
        <is>
          <t>Complex</t>
        </is>
      </c>
      <c r="I64" s="22">
        <f>IF(C64=0,0,C64*INDEX('Component Catalogue'!$H$5:$J$150,MATCH($B64,'Component Catalogue'!$C$5:$C$150,0),MATCH(F64,'Component Catalogue'!$H$4:$J$4,0)))</f>
        <v/>
      </c>
      <c r="J64" s="22">
        <f>IF(D64=0,0,D64*INDEX('Component Catalogue'!$H$5:$J$150,MATCH($B64,'Component Catalogue'!$C$5:$C$150,0),MATCH(G64,'Component Catalogue'!$H$4:$J$4,0)))</f>
        <v/>
      </c>
      <c r="K64" s="22">
        <f>IF(E64=0,0,E64*INDEX('Component Catalogue'!$H$5:$J$150,MATCH($B64,'Component Catalogue'!$C$5:$C$150,0),MATCH(H64,'Component Catalogue'!$H$4:$J$4,0)))</f>
        <v/>
      </c>
      <c r="L64" s="39">
        <f>IF(C64&gt;0,$A64&amp;"|"&amp;COUNTIFS($A$5:$A64,$A64,C$5:C64,"&gt;0"),"")</f>
        <v/>
      </c>
      <c r="M64" s="39">
        <f>IF(D64&gt;0,$A64&amp;"|"&amp;COUNTIFS($A$5:$A64,$A64,D$5:D64,"&gt;0"),"")</f>
        <v/>
      </c>
      <c r="N64" s="39">
        <f>IF(E64&gt;0,$A64&amp;"|"&amp;COUNTIFS($A$5:$A64,$A64,E$5:E64,"&gt;0"),"")</f>
        <v/>
      </c>
    </row>
  </sheetData>
  <autoFilter ref="A4:K64"/>
  <mergeCells count="4">
    <mergeCell ref="I3:K3"/>
    <mergeCell ref="F3:H3"/>
    <mergeCell ref="L3:N3"/>
    <mergeCell ref="C3:E3"/>
  </mergeCells>
  <dataValidations count="1">
    <dataValidation sqref="F5 F6 F7 F8 F9 F10 F11 F12 F13 F14 F15 F16 F17 F18 F19 F20 F21 F22 F23 F24 F25 F26 F27 F28 F29 F30 F31 F32 F33 F34 F35 F36 F37 F38 F39 F40 F41 F42 F43 F44 F45 F46 F47 F48 F49 F50 F51 F52 F53 F54 F55 F56 F57 F58 F59 F60 F61 F62 F63 F64 G5 G6 G7 G8 G9 G10 G11 G12 G13 G14 G15 G16 G17 G18 G19 G20 G21 G22 G23 G24 G25 G26 G27 G28 G29 G30 G31 G32 G33 G34 G35 G36 G37 G38 G39 G40 G41 G42 G43 G44 G45 G46 G47 G48 G49 G50 G51 G52 G53 G54 G55 G56 G57 G58 G59 G60 G61 G62 G63 G64 H5 H6 H7 H8 H9 H10 H11 H12 H13 H14 H15 H16 H17 H18 H19 H20 H21 H22 H23 H24 H25 H26 H27 H28 H29 H30 H31 H32 H33 H34 H35 H36 H37 H38 H39 H40 H41 H42 H43 H44 H45 H46 H47 H48 H49 H50 H51 H52 H53 H54 H55 H56 H57 H58 H59 H60 H61 H62 H63 H64" showDropDown="0" showInputMessage="0" showErrorMessage="0" allowBlank="0" type="list">
      <formula1>"Simple,Medium,Complex,-"</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BF8F00"/>
    <outlinePr summaryBelow="1" summaryRight="1"/>
    <pageSetUpPr fitToPage="1"/>
  </sheetPr>
  <dimension ref="A1:E31"/>
  <sheetViews>
    <sheetView showGridLines="0" workbookViewId="0">
      <selection activeCell="A1" sqref="A1"/>
    </sheetView>
  </sheetViews>
  <sheetFormatPr baseColWidth="8" defaultRowHeight="15"/>
  <cols>
    <col width="44" customWidth="1" min="1" max="1"/>
    <col width="16" customWidth="1" min="2" max="2"/>
    <col width="80" customWidth="1" min="3" max="3"/>
    <col width="14" customWidth="1" min="4" max="4"/>
    <col width="50" customWidth="1" min="5" max="5"/>
  </cols>
  <sheetData>
    <row r="1">
      <c r="A1" s="1" t="inlineStr">
        <is>
          <t>Assumptions &amp; Calibration</t>
        </is>
      </c>
    </row>
    <row r="2">
      <c r="A2" s="2" t="inlineStr">
        <is>
          <t>Editable parameters used across the workbook. Blue text on yellow = input.</t>
        </is>
      </c>
    </row>
    <row r="4">
      <c r="A4" s="12" t="inlineStr">
        <is>
          <t>Parameter</t>
        </is>
      </c>
      <c r="B4" s="12" t="inlineStr">
        <is>
          <t>Value</t>
        </is>
      </c>
      <c r="C4" s="12" t="inlineStr">
        <is>
          <t>Notes</t>
        </is>
      </c>
    </row>
    <row r="5">
      <c r="A5" s="4" t="inlineStr">
        <is>
          <t>AI-assist effort reduction</t>
        </is>
      </c>
      <c r="B5" s="36" t="n">
        <v>0.3</v>
      </c>
      <c r="C5" s="5" t="inlineStr">
        <is>
          <t>PLACEHOLDER. Share of effort saved when developers use an AI coding assistant (e.g. Copilot). To be replaced with a figure validated by delivery teams.</t>
        </is>
      </c>
    </row>
    <row r="6">
      <c r="A6" s="4" t="inlineStr">
        <is>
          <t>Technology factor</t>
        </is>
      </c>
      <c r="B6" s="35" t="n">
        <v>1</v>
      </c>
      <c r="C6" s="5" t="inlineStr">
        <is>
          <t>Multiplier on total effort. 1.00 = baseline stack (Next.js/React + TypeScript + a component library). Raise it for stacks that need more hand-built UI (e.g. 1.25 if most components are built by hand).</t>
        </is>
      </c>
    </row>
    <row r="7">
      <c r="A7" s="4" t="inlineStr">
        <is>
          <t>Hours per person-day</t>
        </is>
      </c>
      <c r="B7" s="46" t="n">
        <v>8</v>
      </c>
      <c r="C7" s="5" t="inlineStr">
        <is>
          <t>Used to convert hours into person-days.</t>
        </is>
      </c>
    </row>
    <row r="8">
      <c r="A8" s="4" t="inlineStr">
        <is>
          <t>Productive hours per person-week</t>
        </is>
      </c>
      <c r="B8" s="46" t="n">
        <v>40</v>
      </c>
      <c r="C8" s="5" t="inlineStr">
        <is>
          <t>Used only for the indicative duration on the Estimator sheet.</t>
        </is>
      </c>
    </row>
    <row r="11">
      <c r="A11" s="3" t="inlineStr">
        <is>
          <t>Baseline assumptions behind the hours</t>
        </is>
      </c>
    </row>
    <row r="12" ht="42" customHeight="1">
      <c r="A12" s="4" t="inlineStr">
        <is>
          <t>What the hours cover</t>
        </is>
      </c>
      <c r="B12" s="5" t="inlineStr">
        <is>
          <t>Developer effort to build the component AND write its unit tests, for a typical first implementation.</t>
        </is>
      </c>
      <c r="C12" s="9" t="n"/>
    </row>
    <row r="13" ht="42" customHeight="1">
      <c r="A13" s="4" t="inlineStr">
        <is>
          <t>What the hours exclude</t>
        </is>
      </c>
      <c r="B13" s="5" t="inlineStr">
        <is>
          <t>UAT, integration/system testing, project management, requirements gathering, DevOps/infrastructure, database design and data pipelines.</t>
        </is>
      </c>
      <c r="C13" s="9" t="n"/>
    </row>
    <row r="14" ht="42" customHeight="1">
      <c r="A14" s="4" t="inlineStr">
        <is>
          <t>Who does the work</t>
        </is>
      </c>
      <c r="B14" s="5" t="inlineStr">
        <is>
          <t>An average Kyndryl developer. Hours are generic, not person-specific.</t>
        </is>
      </c>
      <c r="C14" s="9" t="n"/>
    </row>
    <row r="15" ht="42" customHeight="1">
      <c r="A15" s="4" t="inlineStr">
        <is>
          <t>Platform</t>
        </is>
      </c>
      <c r="B15" s="5" t="inlineStr">
        <is>
          <t>Modern web applications only. No mobile apps, desktop apps or legacy server-rendered stacks.</t>
        </is>
      </c>
      <c r="C15" s="9" t="n"/>
    </row>
    <row r="16" ht="42" customHeight="1">
      <c r="A16" s="4" t="inlineStr">
        <is>
          <t>Front-end baseline</t>
        </is>
      </c>
      <c r="B16" s="5" t="inlineStr">
        <is>
          <t>Next.js / React with TypeScript and an established component library (e.g. MUI, Ant Design, shadcn/ui). Approved designs are available before build starts.</t>
        </is>
      </c>
      <c r="C16" s="9" t="n"/>
    </row>
    <row r="17" ht="42" customHeight="1">
      <c r="A17" s="4" t="inlineStr">
        <is>
          <t>Back-end baseline</t>
        </is>
      </c>
      <c r="B17" s="5" t="inlineStr">
        <is>
          <t>REST APIs (e.g. Python/FastAPI or Node). Includes routing, validation, business logic, error handling, unit tests and API documentation. Data is accessed through APIs, not direct database connections.</t>
        </is>
      </c>
      <c r="C17" s="9" t="n"/>
    </row>
    <row r="18" ht="42" customHeight="1">
      <c r="A18" s="4" t="inlineStr">
        <is>
          <t>Agent / AI back-end</t>
        </is>
      </c>
      <c r="B18" s="5" t="inlineStr">
        <is>
          <t>Agent, pipeline and RAG development is NOT estimated here. Only the UI and API layer that talk to agents are covered.</t>
        </is>
      </c>
      <c r="C18" s="9" t="n"/>
    </row>
    <row r="19" ht="42" customHeight="1">
      <c r="A19" s="4" t="inlineStr">
        <is>
          <t>Hours status</t>
        </is>
      </c>
      <c r="B19" s="5" t="inlineStr">
        <is>
          <t>DRAFT starting values. Team members enter their own experience-based hours here. Hours must be generic, i.e. deliverable by any Kyndryl developer, not person-specific.</t>
        </is>
      </c>
      <c r="C19" s="9" t="n"/>
    </row>
    <row r="22">
      <c r="A22" s="3" t="inlineStr">
        <is>
          <t>Calibration log (optional - record delivered projects to refine the hours)</t>
        </is>
      </c>
    </row>
    <row r="23">
      <c r="A23" s="12" t="inlineStr">
        <is>
          <t>Project / scope summary</t>
        </is>
      </c>
      <c r="B23" s="12" t="inlineStr">
        <is>
          <t>Estimated hrs</t>
        </is>
      </c>
      <c r="C23" s="12" t="inlineStr">
        <is>
          <t>Actual hrs</t>
        </is>
      </c>
      <c r="D23" s="12" t="inlineStr">
        <is>
          <t>Variance %</t>
        </is>
      </c>
      <c r="E23" s="12" t="inlineStr">
        <is>
          <t>Lessons / reason</t>
        </is>
      </c>
    </row>
    <row r="24">
      <c r="A24" s="7" t="n"/>
      <c r="B24" s="7" t="n"/>
      <c r="C24" s="7" t="n"/>
      <c r="D24" s="33">
        <f>IF(OR(B24="",B24=0,C24=""),"",(C24-B24)/B24)</f>
        <v/>
      </c>
      <c r="E24" s="7" t="n"/>
    </row>
    <row r="25">
      <c r="A25" s="7" t="n"/>
      <c r="B25" s="7" t="n"/>
      <c r="C25" s="7" t="n"/>
      <c r="D25" s="33">
        <f>IF(OR(B25="",B25=0,C25=""),"",(C25-B25)/B25)</f>
        <v/>
      </c>
      <c r="E25" s="7" t="n"/>
    </row>
    <row r="26">
      <c r="A26" s="7" t="n"/>
      <c r="B26" s="7" t="n"/>
      <c r="C26" s="7" t="n"/>
      <c r="D26" s="33">
        <f>IF(OR(B26="",B26=0,C26=""),"",(C26-B26)/B26)</f>
        <v/>
      </c>
      <c r="E26" s="7" t="n"/>
    </row>
    <row r="27">
      <c r="A27" s="7" t="n"/>
      <c r="B27" s="7" t="n"/>
      <c r="C27" s="7" t="n"/>
      <c r="D27" s="33">
        <f>IF(OR(B27="",B27=0,C27=""),"",(C27-B27)/B27)</f>
        <v/>
      </c>
      <c r="E27" s="7" t="n"/>
    </row>
    <row r="28">
      <c r="A28" s="7" t="n"/>
      <c r="B28" s="7" t="n"/>
      <c r="C28" s="7" t="n"/>
      <c r="D28" s="33">
        <f>IF(OR(B28="",B28=0,C28=""),"",(C28-B28)/B28)</f>
        <v/>
      </c>
      <c r="E28" s="7" t="n"/>
    </row>
    <row r="29">
      <c r="A29" s="7" t="n"/>
      <c r="B29" s="7" t="n"/>
      <c r="C29" s="7" t="n"/>
      <c r="D29" s="33">
        <f>IF(OR(B29="",B29=0,C29=""),"",(C29-B29)/B29)</f>
        <v/>
      </c>
      <c r="E29" s="7" t="n"/>
    </row>
    <row r="30">
      <c r="A30" s="7" t="n"/>
      <c r="B30" s="7" t="n"/>
      <c r="C30" s="7" t="n"/>
      <c r="D30" s="33">
        <f>IF(OR(B30="",B30=0,C30=""),"",(C30-B30)/B30)</f>
        <v/>
      </c>
      <c r="E30" s="7" t="n"/>
    </row>
    <row r="31">
      <c r="A31" s="7" t="n"/>
      <c r="B31" s="7" t="n"/>
      <c r="C31" s="7" t="n"/>
      <c r="D31" s="33">
        <f>IF(OR(B31="",B31=0,C31=""),"",(C31-B31)/B31)</f>
        <v/>
      </c>
      <c r="E31" s="7" t="n"/>
    </row>
  </sheetData>
  <mergeCells count="10">
    <mergeCell ref="B13:C13"/>
    <mergeCell ref="B16:C16"/>
    <mergeCell ref="A11:C11"/>
    <mergeCell ref="B15:C15"/>
    <mergeCell ref="B19:C19"/>
    <mergeCell ref="A22:C22"/>
    <mergeCell ref="B14:C14"/>
    <mergeCell ref="B17:C17"/>
    <mergeCell ref="B18:C18"/>
    <mergeCell ref="B12:C1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2026-10-14T12:49:05Z</dcterms:created>
  <dcterms:modified xsi:type="dcterms:W3CDTF">2026-10-14T12:49:05Z</dcterms:modified>
</cp:coreProperties>
</file>